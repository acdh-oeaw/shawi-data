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eawacat.sharepoint.com/sites/ACDH-CH_p_ShawiTypeArabicDialects_Shawi/Shared Documents/General/"/>
    </mc:Choice>
  </mc:AlternateContent>
  <xr:revisionPtr revIDLastSave="5088" documentId="101_{C6DEE346-4041-42DA-A045-73B3629F4363}" xr6:coauthVersionLast="47" xr6:coauthVersionMax="47" xr10:uidLastSave="{1835021F-5697-4EB0-97D1-0CBA4A4E4C47}"/>
  <bookViews>
    <workbookView xWindow="-110" yWindow="-110" windowWidth="19420" windowHeight="11500" firstSheet="1" activeTab="3" xr2:uid="{00000000-000D-0000-FFFF-FFFF00000000}"/>
  </bookViews>
  <sheets>
    <sheet name="Team" sheetId="9" r:id="rId1"/>
    <sheet name="Workflow" sheetId="5" r:id="rId2"/>
    <sheet name="Recordings" sheetId="1" r:id="rId3"/>
    <sheet name="Speakers" sheetId="2" r:id="rId4"/>
    <sheet name="Speakers_in_Recordings" sheetId="6" r:id="rId5"/>
    <sheet name="Subjects" sheetId="4" r:id="rId6"/>
    <sheet name="Subjects_in_Recordings" sheetId="7" r:id="rId7"/>
    <sheet name="Places" sheetId="8" r:id="rId8"/>
    <sheet name="Profiles" sheetId="10" r:id="rId9"/>
  </sheets>
  <definedNames>
    <definedName name="_GoBack">Recordings!#REF!</definedName>
    <definedName name="ExternalData_1" localSheetId="7" hidden="1">Places!$A$1:$D$607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0" i="1" l="1" a="1"/>
  <c r="B430" i="1"/>
  <c r="C430" i="1" a="1"/>
  <c r="C430" i="1"/>
  <c r="B366" i="1" a="1"/>
  <c r="B366" i="1"/>
  <c r="C366" i="1" a="1"/>
  <c r="C366" i="1"/>
  <c r="B367" i="1" a="1"/>
  <c r="B367" i="1"/>
  <c r="C367" i="1" a="1"/>
  <c r="C367" i="1"/>
  <c r="B368" i="1" a="1"/>
  <c r="B368" i="1"/>
  <c r="C368" i="1" a="1"/>
  <c r="C368" i="1"/>
  <c r="B369" i="1" a="1"/>
  <c r="B369" i="1"/>
  <c r="C369" i="1" a="1"/>
  <c r="C369" i="1"/>
  <c r="B287" i="1" a="1"/>
  <c r="B287" i="1"/>
  <c r="C287" i="1" a="1"/>
  <c r="C287" i="1"/>
  <c r="G37" i="2" a="1"/>
  <c r="G37" i="2"/>
  <c r="B606" i="1" a="1"/>
  <c r="B606" i="1"/>
  <c r="B607" i="1" a="1"/>
  <c r="B607" i="1"/>
  <c r="B608" i="1" a="1"/>
  <c r="B608" i="1"/>
  <c r="B609" i="1" a="1"/>
  <c r="B609" i="1"/>
  <c r="C606" i="1" a="1"/>
  <c r="C606" i="1"/>
  <c r="C607" i="1" a="1"/>
  <c r="C607" i="1"/>
  <c r="C608" i="1" a="1"/>
  <c r="C608" i="1"/>
  <c r="C609" i="1" a="1"/>
  <c r="C609" i="1"/>
  <c r="G63" i="2" a="1"/>
  <c r="G63" i="2"/>
  <c r="G36" i="2" a="1"/>
  <c r="G36" i="2"/>
  <c r="G35" i="2" a="1"/>
  <c r="G35" i="2"/>
  <c r="G33" i="2" a="1"/>
  <c r="G33" i="2"/>
  <c r="G34" i="2" a="1"/>
  <c r="G34" i="2"/>
  <c r="B604" i="1" a="1"/>
  <c r="B604" i="1"/>
  <c r="B605" i="1" a="1"/>
  <c r="B605" i="1"/>
  <c r="C604" i="1" a="1"/>
  <c r="C604" i="1"/>
  <c r="C605" i="1" a="1"/>
  <c r="C605" i="1"/>
  <c r="B597" i="1" a="1"/>
  <c r="B597" i="1"/>
  <c r="B598" i="1" a="1"/>
  <c r="B598" i="1"/>
  <c r="B599" i="1" a="1"/>
  <c r="B599" i="1"/>
  <c r="B600" i="1" a="1"/>
  <c r="B600" i="1"/>
  <c r="B601" i="1" a="1"/>
  <c r="B601" i="1"/>
  <c r="B602" i="1" a="1"/>
  <c r="B602" i="1"/>
  <c r="B603" i="1" a="1"/>
  <c r="B603" i="1"/>
  <c r="C597" i="1" a="1"/>
  <c r="C597" i="1"/>
  <c r="C598" i="1" a="1"/>
  <c r="C598" i="1"/>
  <c r="C599" i="1" a="1"/>
  <c r="C599" i="1"/>
  <c r="C600" i="1" a="1"/>
  <c r="C600" i="1"/>
  <c r="C601" i="1" a="1"/>
  <c r="C601" i="1"/>
  <c r="C602" i="1" a="1"/>
  <c r="C602" i="1"/>
  <c r="C603" i="1" a="1"/>
  <c r="C603" i="1"/>
  <c r="B594" i="1" a="1"/>
  <c r="B594" i="1"/>
  <c r="B595" i="1" a="1"/>
  <c r="B595" i="1"/>
  <c r="B596" i="1" a="1"/>
  <c r="B596" i="1"/>
  <c r="C594" i="1" a="1"/>
  <c r="C594" i="1"/>
  <c r="C595" i="1" a="1"/>
  <c r="C595" i="1"/>
  <c r="C596" i="1" a="1"/>
  <c r="C596" i="1"/>
  <c r="B589" i="1" a="1"/>
  <c r="B589" i="1"/>
  <c r="B590" i="1" a="1"/>
  <c r="B590" i="1"/>
  <c r="B591" i="1" a="1"/>
  <c r="B591" i="1"/>
  <c r="B592" i="1" a="1"/>
  <c r="B592" i="1"/>
  <c r="B593" i="1" a="1"/>
  <c r="B593" i="1"/>
  <c r="C589" i="1" a="1"/>
  <c r="C589" i="1"/>
  <c r="C590" i="1" a="1"/>
  <c r="C590" i="1"/>
  <c r="C591" i="1" a="1"/>
  <c r="C591" i="1"/>
  <c r="C592" i="1" a="1"/>
  <c r="C592" i="1"/>
  <c r="C593" i="1" a="1"/>
  <c r="C593" i="1"/>
  <c r="B584" i="1" a="1"/>
  <c r="B584" i="1"/>
  <c r="B585" i="1" a="1"/>
  <c r="B585" i="1"/>
  <c r="B586" i="1" a="1"/>
  <c r="B586" i="1"/>
  <c r="B587" i="1" a="1"/>
  <c r="B587" i="1"/>
  <c r="B588" i="1" a="1"/>
  <c r="B588" i="1"/>
  <c r="C584" i="1" a="1"/>
  <c r="C584" i="1"/>
  <c r="C585" i="1" a="1"/>
  <c r="C585" i="1"/>
  <c r="C586" i="1" a="1"/>
  <c r="C586" i="1"/>
  <c r="C587" i="1" a="1"/>
  <c r="C587" i="1"/>
  <c r="C588" i="1" a="1"/>
  <c r="C588" i="1"/>
  <c r="G32" i="2" a="1"/>
  <c r="G32" i="2"/>
  <c r="G31" i="2" a="1"/>
  <c r="G31" i="2"/>
  <c r="B568" i="1" a="1"/>
  <c r="B568" i="1"/>
  <c r="B569" i="1" a="1"/>
  <c r="B569" i="1"/>
  <c r="B570" i="1" a="1"/>
  <c r="B570" i="1"/>
  <c r="B571" i="1" a="1"/>
  <c r="B571" i="1"/>
  <c r="B572" i="1" a="1"/>
  <c r="B572" i="1"/>
  <c r="B573" i="1" a="1"/>
  <c r="B573" i="1"/>
  <c r="B574" i="1" a="1"/>
  <c r="B574" i="1"/>
  <c r="B575" i="1" a="1"/>
  <c r="B575" i="1"/>
  <c r="B576" i="1" a="1"/>
  <c r="B576" i="1"/>
  <c r="B577" i="1" a="1"/>
  <c r="B577" i="1"/>
  <c r="B578" i="1" a="1"/>
  <c r="B578" i="1"/>
  <c r="B579" i="1" a="1"/>
  <c r="B579" i="1"/>
  <c r="B580" i="1" a="1"/>
  <c r="B580" i="1"/>
  <c r="B581" i="1" a="1"/>
  <c r="B581" i="1"/>
  <c r="B582" i="1" a="1"/>
  <c r="B582" i="1"/>
  <c r="B583" i="1" a="1"/>
  <c r="B583" i="1"/>
  <c r="C568" i="1" a="1"/>
  <c r="C568" i="1"/>
  <c r="C569" i="1" a="1"/>
  <c r="C569" i="1"/>
  <c r="C570" i="1" a="1"/>
  <c r="C570" i="1"/>
  <c r="C571" i="1" a="1"/>
  <c r="C571" i="1"/>
  <c r="C572" i="1" a="1"/>
  <c r="C572" i="1"/>
  <c r="C573" i="1" a="1"/>
  <c r="C573" i="1"/>
  <c r="C574" i="1" a="1"/>
  <c r="C574" i="1"/>
  <c r="C575" i="1" a="1"/>
  <c r="C575" i="1"/>
  <c r="C576" i="1" a="1"/>
  <c r="C576" i="1"/>
  <c r="C577" i="1" a="1"/>
  <c r="C577" i="1"/>
  <c r="C578" i="1" a="1"/>
  <c r="C578" i="1"/>
  <c r="C579" i="1" a="1"/>
  <c r="C579" i="1"/>
  <c r="C580" i="1" a="1"/>
  <c r="C580" i="1"/>
  <c r="C581" i="1" a="1"/>
  <c r="C581" i="1"/>
  <c r="C582" i="1" a="1"/>
  <c r="C582" i="1"/>
  <c r="C583" i="1" a="1"/>
  <c r="C583" i="1"/>
  <c r="G30" i="2" a="1"/>
  <c r="G30" i="2"/>
  <c r="B567" i="1" a="1"/>
  <c r="B567" i="1"/>
  <c r="C567" i="1" a="1"/>
  <c r="C567" i="1"/>
  <c r="B565" i="1" a="1"/>
  <c r="B565" i="1"/>
  <c r="B566" i="1" a="1"/>
  <c r="B566" i="1"/>
  <c r="C565" i="1" a="1"/>
  <c r="C565" i="1"/>
  <c r="C566" i="1" a="1"/>
  <c r="C566" i="1"/>
  <c r="B562" i="1" a="1"/>
  <c r="B562" i="1"/>
  <c r="B563" i="1" a="1"/>
  <c r="B563" i="1"/>
  <c r="B564" i="1" a="1"/>
  <c r="B564" i="1"/>
  <c r="C562" i="1" a="1"/>
  <c r="C562" i="1"/>
  <c r="C563" i="1" a="1"/>
  <c r="C563" i="1"/>
  <c r="C564" i="1" a="1"/>
  <c r="C564" i="1"/>
  <c r="H13" i="9"/>
  <c r="H12" i="9"/>
  <c r="G29" i="2" a="1"/>
  <c r="G29" i="2"/>
  <c r="G28" i="2" a="1"/>
  <c r="G28" i="2"/>
  <c r="G27" i="2" a="1"/>
  <c r="G27" i="2"/>
  <c r="G26" i="2" a="1"/>
  <c r="G26" i="2"/>
  <c r="B533" i="1" a="1"/>
  <c r="B533" i="1"/>
  <c r="B534" i="1" a="1"/>
  <c r="B534" i="1"/>
  <c r="B535" i="1" a="1"/>
  <c r="B535" i="1"/>
  <c r="B536" i="1" a="1"/>
  <c r="B536" i="1"/>
  <c r="B537" i="1" a="1"/>
  <c r="B537" i="1"/>
  <c r="B538" i="1" a="1"/>
  <c r="B538" i="1"/>
  <c r="B539" i="1" a="1"/>
  <c r="B539" i="1"/>
  <c r="B540" i="1" a="1"/>
  <c r="B540" i="1"/>
  <c r="B541" i="1" a="1"/>
  <c r="B541" i="1"/>
  <c r="B542" i="1" a="1"/>
  <c r="B542" i="1"/>
  <c r="B543" i="1" a="1"/>
  <c r="B543" i="1"/>
  <c r="B544" i="1" a="1"/>
  <c r="B544" i="1"/>
  <c r="B545" i="1" a="1"/>
  <c r="B545" i="1"/>
  <c r="B546" i="1" a="1"/>
  <c r="B546" i="1"/>
  <c r="B547" i="1" a="1"/>
  <c r="B547" i="1"/>
  <c r="B548" i="1" a="1"/>
  <c r="B548" i="1"/>
  <c r="B549" i="1" a="1"/>
  <c r="B549" i="1"/>
  <c r="B550" i="1" a="1"/>
  <c r="B550" i="1"/>
  <c r="B551" i="1" a="1"/>
  <c r="B551" i="1"/>
  <c r="B552" i="1" a="1"/>
  <c r="B552" i="1"/>
  <c r="B553" i="1" a="1"/>
  <c r="B553" i="1"/>
  <c r="B554" i="1" a="1"/>
  <c r="B554" i="1"/>
  <c r="B555" i="1" a="1"/>
  <c r="B555" i="1"/>
  <c r="B556" i="1" a="1"/>
  <c r="B556" i="1"/>
  <c r="B557" i="1" a="1"/>
  <c r="B557" i="1"/>
  <c r="B558" i="1" a="1"/>
  <c r="B558" i="1"/>
  <c r="B559" i="1" a="1"/>
  <c r="B559" i="1"/>
  <c r="B560" i="1" a="1"/>
  <c r="B560" i="1"/>
  <c r="B561" i="1" a="1"/>
  <c r="B561" i="1"/>
  <c r="C533" i="1" a="1"/>
  <c r="C533" i="1"/>
  <c r="C534" i="1" a="1"/>
  <c r="C534" i="1"/>
  <c r="C535" i="1" a="1"/>
  <c r="C535" i="1"/>
  <c r="C536" i="1" a="1"/>
  <c r="C536" i="1"/>
  <c r="C537" i="1" a="1"/>
  <c r="C537" i="1"/>
  <c r="C538" i="1" a="1"/>
  <c r="C538" i="1"/>
  <c r="C539" i="1" a="1"/>
  <c r="C539" i="1"/>
  <c r="C540" i="1" a="1"/>
  <c r="C540" i="1"/>
  <c r="C541" i="1" a="1"/>
  <c r="C541" i="1"/>
  <c r="C542" i="1" a="1"/>
  <c r="C542" i="1"/>
  <c r="C543" i="1" a="1"/>
  <c r="C543" i="1"/>
  <c r="C544" i="1" a="1"/>
  <c r="C544" i="1"/>
  <c r="C545" i="1" a="1"/>
  <c r="C545" i="1"/>
  <c r="C546" i="1" a="1"/>
  <c r="C546" i="1"/>
  <c r="C547" i="1" a="1"/>
  <c r="C547" i="1"/>
  <c r="C548" i="1" a="1"/>
  <c r="C548" i="1"/>
  <c r="C549" i="1" a="1"/>
  <c r="C549" i="1"/>
  <c r="C550" i="1" a="1"/>
  <c r="C550" i="1"/>
  <c r="C551" i="1" a="1"/>
  <c r="C551" i="1"/>
  <c r="C552" i="1" a="1"/>
  <c r="C552" i="1"/>
  <c r="C553" i="1" a="1"/>
  <c r="C553" i="1"/>
  <c r="C554" i="1" a="1"/>
  <c r="C554" i="1"/>
  <c r="C555" i="1" a="1"/>
  <c r="C555" i="1"/>
  <c r="C556" i="1" a="1"/>
  <c r="C556" i="1"/>
  <c r="C557" i="1" a="1"/>
  <c r="C557" i="1"/>
  <c r="C558" i="1" a="1"/>
  <c r="C558" i="1"/>
  <c r="C559" i="1" a="1"/>
  <c r="C559" i="1"/>
  <c r="C560" i="1" a="1"/>
  <c r="C560" i="1"/>
  <c r="C561" i="1" a="1"/>
  <c r="C561" i="1"/>
  <c r="B412" i="1" a="1"/>
  <c r="B412" i="1"/>
  <c r="C412" i="1" a="1"/>
  <c r="C412" i="1"/>
  <c r="C95" i="1" a="1"/>
  <c r="C95" i="1"/>
  <c r="B98" i="1" a="1"/>
  <c r="B98" i="1"/>
  <c r="C98" i="1" a="1"/>
  <c r="C98" i="1"/>
  <c r="B95" i="1" a="1"/>
  <c r="B95" i="1"/>
  <c r="B96" i="1" a="1"/>
  <c r="B96" i="1"/>
  <c r="C96" i="1" a="1"/>
  <c r="C96" i="1"/>
  <c r="B97" i="1" a="1"/>
  <c r="B97" i="1"/>
  <c r="C97" i="1" a="1"/>
  <c r="C97" i="1"/>
  <c r="B92" i="1" a="1"/>
  <c r="B92" i="1"/>
  <c r="C92" i="1" a="1"/>
  <c r="C92" i="1"/>
  <c r="B524" i="1" a="1"/>
  <c r="B524" i="1"/>
  <c r="B525" i="1" a="1"/>
  <c r="B525" i="1"/>
  <c r="B526" i="1" a="1"/>
  <c r="B526" i="1"/>
  <c r="B527" i="1" a="1"/>
  <c r="B527" i="1"/>
  <c r="B528" i="1" a="1"/>
  <c r="B528" i="1"/>
  <c r="B529" i="1" a="1"/>
  <c r="B529" i="1"/>
  <c r="B530" i="1" a="1"/>
  <c r="B530" i="1"/>
  <c r="B531" i="1" a="1"/>
  <c r="B531" i="1"/>
  <c r="B532" i="1" a="1"/>
  <c r="B532" i="1"/>
  <c r="C524" i="1" a="1"/>
  <c r="C524" i="1"/>
  <c r="C525" i="1" a="1"/>
  <c r="C525" i="1"/>
  <c r="C526" i="1" a="1"/>
  <c r="C526" i="1"/>
  <c r="C527" i="1" a="1"/>
  <c r="C527" i="1"/>
  <c r="C528" i="1" a="1"/>
  <c r="C528" i="1"/>
  <c r="C529" i="1" a="1"/>
  <c r="C529" i="1"/>
  <c r="C530" i="1" a="1"/>
  <c r="C530" i="1"/>
  <c r="C531" i="1" a="1"/>
  <c r="C531" i="1"/>
  <c r="C532" i="1" a="1"/>
  <c r="C532" i="1"/>
  <c r="B513" i="1" a="1"/>
  <c r="B513" i="1"/>
  <c r="B514" i="1" a="1"/>
  <c r="B514" i="1"/>
  <c r="B515" i="1" a="1"/>
  <c r="B515" i="1"/>
  <c r="B516" i="1" a="1"/>
  <c r="B516" i="1"/>
  <c r="B517" i="1" a="1"/>
  <c r="B517" i="1"/>
  <c r="B518" i="1" a="1"/>
  <c r="B518" i="1"/>
  <c r="B519" i="1" a="1"/>
  <c r="B519" i="1"/>
  <c r="B520" i="1" a="1"/>
  <c r="B520" i="1"/>
  <c r="B521" i="1" a="1"/>
  <c r="B521" i="1"/>
  <c r="B522" i="1" a="1"/>
  <c r="B522" i="1"/>
  <c r="B523" i="1" a="1"/>
  <c r="B523" i="1"/>
  <c r="C513" i="1" a="1"/>
  <c r="C513" i="1"/>
  <c r="C514" i="1" a="1"/>
  <c r="C514" i="1"/>
  <c r="C515" i="1" a="1"/>
  <c r="C515" i="1"/>
  <c r="C516" i="1" a="1"/>
  <c r="C516" i="1"/>
  <c r="C517" i="1" a="1"/>
  <c r="C517" i="1"/>
  <c r="C518" i="1" a="1"/>
  <c r="C518" i="1"/>
  <c r="C519" i="1" a="1"/>
  <c r="C519" i="1"/>
  <c r="C520" i="1" a="1"/>
  <c r="C520" i="1"/>
  <c r="C521" i="1" a="1"/>
  <c r="C521" i="1"/>
  <c r="C522" i="1" a="1"/>
  <c r="C522" i="1"/>
  <c r="C523" i="1" a="1"/>
  <c r="C523" i="1"/>
  <c r="B508" i="1" a="1"/>
  <c r="B508" i="1"/>
  <c r="B509" i="1" a="1"/>
  <c r="B509" i="1"/>
  <c r="B510" i="1" a="1"/>
  <c r="B510" i="1"/>
  <c r="B511" i="1" a="1"/>
  <c r="B511" i="1"/>
  <c r="B512" i="1" a="1"/>
  <c r="B512" i="1"/>
  <c r="C508" i="1" a="1"/>
  <c r="C508" i="1"/>
  <c r="C509" i="1" a="1"/>
  <c r="C509" i="1"/>
  <c r="C510" i="1" a="1"/>
  <c r="C510" i="1"/>
  <c r="C511" i="1" a="1"/>
  <c r="C511" i="1"/>
  <c r="C512" i="1" a="1"/>
  <c r="C512" i="1"/>
  <c r="C161" i="1" a="1"/>
  <c r="C161" i="1" s="1"/>
  <c r="B161" i="1" a="1"/>
  <c r="B161" i="1" s="1"/>
  <c r="C160" i="1" a="1"/>
  <c r="C160" i="1" s="1"/>
  <c r="B160" i="1" a="1"/>
  <c r="B160" i="1" s="1"/>
  <c r="C159" i="1" a="1"/>
  <c r="C159" i="1" s="1"/>
  <c r="B159" i="1" a="1"/>
  <c r="B159" i="1" s="1"/>
  <c r="C158" i="1" a="1"/>
  <c r="C158" i="1" s="1"/>
  <c r="B158" i="1" a="1"/>
  <c r="B158" i="1" s="1"/>
  <c r="C149" i="1" a="1"/>
  <c r="C149" i="1" s="1"/>
  <c r="B149" i="1" a="1"/>
  <c r="B149" i="1" s="1"/>
  <c r="C113" i="1" a="1"/>
  <c r="C113" i="1" s="1"/>
  <c r="B113" i="1" a="1"/>
  <c r="B113" i="1" s="1"/>
  <c r="B188" i="1" a="1"/>
  <c r="B188" i="1"/>
  <c r="B495" i="1" a="1"/>
  <c r="B495" i="1"/>
  <c r="B496" i="1" a="1"/>
  <c r="B496" i="1"/>
  <c r="B497" i="1" a="1"/>
  <c r="B497" i="1"/>
  <c r="B498" i="1" a="1"/>
  <c r="B498" i="1"/>
  <c r="B499" i="1" a="1"/>
  <c r="B499" i="1"/>
  <c r="B500" i="1" a="1"/>
  <c r="B500" i="1"/>
  <c r="B501" i="1" a="1"/>
  <c r="B501" i="1"/>
  <c r="B502" i="1" a="1"/>
  <c r="B502" i="1"/>
  <c r="B503" i="1" a="1"/>
  <c r="B503" i="1"/>
  <c r="B504" i="1" a="1"/>
  <c r="B504" i="1"/>
  <c r="B505" i="1" a="1"/>
  <c r="B505" i="1"/>
  <c r="B506" i="1" a="1"/>
  <c r="B506" i="1"/>
  <c r="B507" i="1" a="1"/>
  <c r="B507" i="1"/>
  <c r="C495" i="1" a="1"/>
  <c r="C495" i="1"/>
  <c r="C496" i="1" a="1"/>
  <c r="C496" i="1"/>
  <c r="C497" i="1" a="1"/>
  <c r="C497" i="1"/>
  <c r="C498" i="1" a="1"/>
  <c r="C498" i="1"/>
  <c r="C499" i="1" a="1"/>
  <c r="C499" i="1"/>
  <c r="C500" i="1" a="1"/>
  <c r="C500" i="1"/>
  <c r="C501" i="1" a="1"/>
  <c r="C501" i="1"/>
  <c r="C502" i="1" a="1"/>
  <c r="C502" i="1"/>
  <c r="C503" i="1" a="1"/>
  <c r="C503" i="1"/>
  <c r="C504" i="1" a="1"/>
  <c r="C504" i="1"/>
  <c r="C505" i="1" a="1"/>
  <c r="C505" i="1"/>
  <c r="C506" i="1" a="1"/>
  <c r="C506" i="1"/>
  <c r="C507" i="1" a="1"/>
  <c r="C507" i="1"/>
  <c r="G55" i="2" a="1"/>
  <c r="G55" i="2"/>
  <c r="B488" i="1" a="1"/>
  <c r="B488" i="1"/>
  <c r="B489" i="1" a="1"/>
  <c r="B489" i="1"/>
  <c r="B490" i="1" a="1"/>
  <c r="B490" i="1"/>
  <c r="B491" i="1" a="1"/>
  <c r="B491" i="1"/>
  <c r="B492" i="1" a="1"/>
  <c r="B492" i="1"/>
  <c r="B493" i="1" a="1"/>
  <c r="B493" i="1"/>
  <c r="B494" i="1" a="1"/>
  <c r="B494" i="1"/>
  <c r="C488" i="1" a="1"/>
  <c r="C488" i="1"/>
  <c r="C489" i="1" a="1"/>
  <c r="C489" i="1"/>
  <c r="C490" i="1" a="1"/>
  <c r="C490" i="1"/>
  <c r="C491" i="1" a="1"/>
  <c r="C491" i="1"/>
  <c r="C492" i="1" a="1"/>
  <c r="C492" i="1"/>
  <c r="C493" i="1" a="1"/>
  <c r="C493" i="1"/>
  <c r="C494" i="1" a="1"/>
  <c r="C494" i="1"/>
  <c r="G25" i="2" a="1"/>
  <c r="G25" i="2"/>
  <c r="G24" i="2" a="1"/>
  <c r="G24" i="2"/>
  <c r="G40" i="2" a="1"/>
  <c r="G40" i="2"/>
  <c r="G39" i="2" a="1"/>
  <c r="G39" i="2"/>
  <c r="B485" i="1" a="1"/>
  <c r="B485" i="1"/>
  <c r="B486" i="1" a="1"/>
  <c r="B486" i="1"/>
  <c r="B487" i="1" a="1"/>
  <c r="B487" i="1"/>
  <c r="C485" i="1" a="1"/>
  <c r="C485" i="1"/>
  <c r="C486" i="1" a="1"/>
  <c r="C486" i="1"/>
  <c r="C487" i="1" a="1"/>
  <c r="C487" i="1"/>
  <c r="B456" i="1" a="1"/>
  <c r="B456" i="1"/>
  <c r="B457" i="1" a="1"/>
  <c r="B457" i="1"/>
  <c r="B458" i="1" a="1"/>
  <c r="B458" i="1"/>
  <c r="B459" i="1" a="1"/>
  <c r="B459" i="1"/>
  <c r="B460" i="1" a="1"/>
  <c r="B460" i="1"/>
  <c r="B461" i="1" a="1"/>
  <c r="B461" i="1"/>
  <c r="B462" i="1" a="1"/>
  <c r="B462" i="1"/>
  <c r="B463" i="1" a="1"/>
  <c r="B463" i="1"/>
  <c r="B464" i="1" a="1"/>
  <c r="B464" i="1"/>
  <c r="B465" i="1" a="1"/>
  <c r="B465" i="1"/>
  <c r="B466" i="1" a="1"/>
  <c r="B466" i="1"/>
  <c r="B467" i="1" a="1"/>
  <c r="B467" i="1"/>
  <c r="B468" i="1" a="1"/>
  <c r="B468" i="1"/>
  <c r="B469" i="1" a="1"/>
  <c r="B469" i="1"/>
  <c r="B470" i="1" a="1"/>
  <c r="B470" i="1"/>
  <c r="B471" i="1" a="1"/>
  <c r="B471" i="1"/>
  <c r="B472" i="1" a="1"/>
  <c r="B472" i="1"/>
  <c r="B473" i="1" a="1"/>
  <c r="B473" i="1"/>
  <c r="B474" i="1" a="1"/>
  <c r="B474" i="1"/>
  <c r="B475" i="1" a="1"/>
  <c r="B475" i="1"/>
  <c r="B476" i="1" a="1"/>
  <c r="B476" i="1"/>
  <c r="B477" i="1" a="1"/>
  <c r="B477" i="1"/>
  <c r="B478" i="1" a="1"/>
  <c r="B478" i="1"/>
  <c r="B479" i="1" a="1"/>
  <c r="B479" i="1"/>
  <c r="B480" i="1" a="1"/>
  <c r="B480" i="1"/>
  <c r="B481" i="1" a="1"/>
  <c r="B481" i="1"/>
  <c r="B482" i="1" a="1"/>
  <c r="B482" i="1"/>
  <c r="B483" i="1" a="1"/>
  <c r="B483" i="1"/>
  <c r="B484" i="1" a="1"/>
  <c r="B484" i="1"/>
  <c r="C456" i="1" a="1"/>
  <c r="C456" i="1"/>
  <c r="C457" i="1" a="1"/>
  <c r="C457" i="1"/>
  <c r="C458" i="1" a="1"/>
  <c r="C458" i="1"/>
  <c r="C459" i="1" a="1"/>
  <c r="C459" i="1"/>
  <c r="C460" i="1" a="1"/>
  <c r="C460" i="1"/>
  <c r="C461" i="1" a="1"/>
  <c r="C461" i="1"/>
  <c r="C462" i="1" a="1"/>
  <c r="C462" i="1"/>
  <c r="C463" i="1" a="1"/>
  <c r="C463" i="1"/>
  <c r="C464" i="1" a="1"/>
  <c r="C464" i="1"/>
  <c r="C465" i="1" a="1"/>
  <c r="C465" i="1"/>
  <c r="C466" i="1" a="1"/>
  <c r="C466" i="1"/>
  <c r="C467" i="1" a="1"/>
  <c r="C467" i="1"/>
  <c r="C468" i="1" a="1"/>
  <c r="C468" i="1"/>
  <c r="C469" i="1" a="1"/>
  <c r="C469" i="1"/>
  <c r="C470" i="1" a="1"/>
  <c r="C470" i="1"/>
  <c r="C471" i="1" a="1"/>
  <c r="C471" i="1"/>
  <c r="C472" i="1" a="1"/>
  <c r="C472" i="1"/>
  <c r="C473" i="1" a="1"/>
  <c r="C473" i="1"/>
  <c r="C474" i="1" a="1"/>
  <c r="C474" i="1"/>
  <c r="C475" i="1" a="1"/>
  <c r="C475" i="1"/>
  <c r="C476" i="1" a="1"/>
  <c r="C476" i="1"/>
  <c r="C477" i="1" a="1"/>
  <c r="C477" i="1"/>
  <c r="C478" i="1" a="1"/>
  <c r="C478" i="1"/>
  <c r="C479" i="1" a="1"/>
  <c r="C479" i="1"/>
  <c r="C480" i="1" a="1"/>
  <c r="C480" i="1"/>
  <c r="C481" i="1" a="1"/>
  <c r="C481" i="1"/>
  <c r="C482" i="1" a="1"/>
  <c r="C482" i="1"/>
  <c r="C483" i="1" a="1"/>
  <c r="C483" i="1"/>
  <c r="C484" i="1" a="1"/>
  <c r="C484" i="1"/>
  <c r="B89" i="1" a="1"/>
  <c r="B89" i="1"/>
  <c r="C89" i="1" a="1"/>
  <c r="C89" i="1"/>
  <c r="B88" i="1" a="1"/>
  <c r="B88" i="1"/>
  <c r="C88" i="1" a="1"/>
  <c r="C88" i="1"/>
  <c r="B90" i="1" a="1"/>
  <c r="B90" i="1"/>
  <c r="C90" i="1" a="1"/>
  <c r="C90" i="1"/>
  <c r="G54" i="2" a="1"/>
  <c r="G54" i="2"/>
  <c r="G53" i="2" a="1"/>
  <c r="G53" i="2"/>
  <c r="G52" i="2" a="1"/>
  <c r="G52" i="2"/>
  <c r="G51" i="2" a="1"/>
  <c r="G51" i="2"/>
  <c r="B87" i="1" a="1"/>
  <c r="B87" i="1"/>
  <c r="C87" i="1" a="1"/>
  <c r="C87" i="1"/>
  <c r="B451" i="1" a="1"/>
  <c r="B451" i="1"/>
  <c r="C451" i="1" a="1"/>
  <c r="C451" i="1"/>
  <c r="B81" i="1" a="1"/>
  <c r="B81" i="1"/>
  <c r="C81" i="1" a="1"/>
  <c r="C81" i="1"/>
  <c r="B82" i="1" a="1"/>
  <c r="B82" i="1"/>
  <c r="C82" i="1" a="1"/>
  <c r="C82" i="1"/>
  <c r="B83" i="1" a="1"/>
  <c r="B83" i="1"/>
  <c r="C83" i="1" a="1"/>
  <c r="C83" i="1"/>
  <c r="B84" i="1" a="1"/>
  <c r="B84" i="1"/>
  <c r="C84" i="1" a="1"/>
  <c r="C84" i="1"/>
  <c r="B85" i="1" a="1"/>
  <c r="B85" i="1"/>
  <c r="C85" i="1" a="1"/>
  <c r="C85" i="1"/>
  <c r="B86" i="1" a="1"/>
  <c r="B86" i="1"/>
  <c r="C86" i="1" a="1"/>
  <c r="C86" i="1"/>
  <c r="H5" i="9"/>
  <c r="B28" i="1" a="1"/>
  <c r="B28" i="1"/>
  <c r="B29" i="1" a="1"/>
  <c r="B29" i="1"/>
  <c r="B30" i="1" a="1"/>
  <c r="B30" i="1"/>
  <c r="B31" i="1" a="1"/>
  <c r="B31" i="1"/>
  <c r="B32" i="1" a="1"/>
  <c r="B32" i="1"/>
  <c r="B33" i="1" a="1"/>
  <c r="B33" i="1"/>
  <c r="B34" i="1" a="1"/>
  <c r="B34" i="1"/>
  <c r="B35" i="1" a="1"/>
  <c r="B35" i="1"/>
  <c r="B36" i="1" a="1"/>
  <c r="B36" i="1"/>
  <c r="B37" i="1" a="1"/>
  <c r="B37" i="1"/>
  <c r="B38" i="1" a="1"/>
  <c r="B38" i="1"/>
  <c r="B39" i="1" a="1"/>
  <c r="B39" i="1"/>
  <c r="B40" i="1" a="1"/>
  <c r="B40" i="1"/>
  <c r="B41" i="1" a="1"/>
  <c r="B41" i="1"/>
  <c r="B42" i="1" a="1"/>
  <c r="B42" i="1"/>
  <c r="B43" i="1" a="1"/>
  <c r="B43" i="1"/>
  <c r="B44" i="1" a="1"/>
  <c r="B44" i="1"/>
  <c r="B45" i="1" a="1"/>
  <c r="B45" i="1"/>
  <c r="B46" i="1" a="1"/>
  <c r="B46" i="1"/>
  <c r="B47" i="1" a="1"/>
  <c r="B47" i="1"/>
  <c r="B48" i="1" a="1"/>
  <c r="B48" i="1"/>
  <c r="B49" i="1" a="1"/>
  <c r="B49" i="1"/>
  <c r="B50" i="1" a="1"/>
  <c r="B50" i="1"/>
  <c r="B51" i="1" a="1"/>
  <c r="B51" i="1"/>
  <c r="B52" i="1" a="1"/>
  <c r="B52" i="1"/>
  <c r="B53" i="1" a="1"/>
  <c r="B53" i="1"/>
  <c r="B54" i="1" a="1"/>
  <c r="B54" i="1"/>
  <c r="B55" i="1" a="1"/>
  <c r="B55" i="1"/>
  <c r="B56" i="1" a="1"/>
  <c r="B56" i="1"/>
  <c r="B57" i="1" a="1"/>
  <c r="B57" i="1"/>
  <c r="B58" i="1" a="1"/>
  <c r="B58" i="1"/>
  <c r="B59" i="1" a="1"/>
  <c r="B59" i="1"/>
  <c r="B60" i="1" a="1"/>
  <c r="B60" i="1"/>
  <c r="B61" i="1" a="1"/>
  <c r="B61" i="1"/>
  <c r="B62" i="1" a="1"/>
  <c r="B62" i="1"/>
  <c r="B63" i="1" a="1"/>
  <c r="B63" i="1"/>
  <c r="B64" i="1" a="1"/>
  <c r="B64" i="1"/>
  <c r="B65" i="1" a="1"/>
  <c r="B65" i="1"/>
  <c r="B66" i="1" a="1"/>
  <c r="B66" i="1"/>
  <c r="B67" i="1" a="1"/>
  <c r="B67" i="1"/>
  <c r="B68" i="1" a="1"/>
  <c r="B68" i="1"/>
  <c r="B69" i="1" a="1"/>
  <c r="B69" i="1"/>
  <c r="B70" i="1" a="1"/>
  <c r="B70" i="1"/>
  <c r="B71" i="1" a="1"/>
  <c r="B71" i="1"/>
  <c r="B72" i="1" a="1"/>
  <c r="B72" i="1"/>
  <c r="B73" i="1" a="1"/>
  <c r="B73" i="1"/>
  <c r="B74" i="1" a="1"/>
  <c r="B74" i="1"/>
  <c r="B75" i="1" a="1"/>
  <c r="B75" i="1"/>
  <c r="B76" i="1" a="1"/>
  <c r="B76" i="1"/>
  <c r="B77" i="1" a="1"/>
  <c r="B77" i="1"/>
  <c r="B78" i="1" a="1"/>
  <c r="B78" i="1"/>
  <c r="B79" i="1" a="1"/>
  <c r="B79" i="1"/>
  <c r="B80" i="1" a="1"/>
  <c r="B80" i="1"/>
  <c r="C28" i="1" a="1"/>
  <c r="C28" i="1"/>
  <c r="C29" i="1" a="1"/>
  <c r="C29" i="1"/>
  <c r="C30" i="1" a="1"/>
  <c r="C30" i="1"/>
  <c r="C31" i="1" a="1"/>
  <c r="C31" i="1"/>
  <c r="C32" i="1" a="1"/>
  <c r="C32" i="1"/>
  <c r="C33" i="1" a="1"/>
  <c r="C33" i="1"/>
  <c r="C34" i="1" a="1"/>
  <c r="C34" i="1"/>
  <c r="C35" i="1" a="1"/>
  <c r="C35" i="1"/>
  <c r="C36" i="1" a="1"/>
  <c r="C36" i="1"/>
  <c r="C37" i="1" a="1"/>
  <c r="C37" i="1"/>
  <c r="C38" i="1" a="1"/>
  <c r="C38" i="1"/>
  <c r="C39" i="1" a="1"/>
  <c r="C39" i="1"/>
  <c r="C40" i="1" a="1"/>
  <c r="C40" i="1"/>
  <c r="C41" i="1" a="1"/>
  <c r="C41" i="1"/>
  <c r="C42" i="1" a="1"/>
  <c r="C42" i="1"/>
  <c r="C43" i="1" a="1"/>
  <c r="C43" i="1"/>
  <c r="C44" i="1" a="1"/>
  <c r="C44" i="1"/>
  <c r="C45" i="1" a="1"/>
  <c r="C45" i="1"/>
  <c r="C46" i="1" a="1"/>
  <c r="C46" i="1"/>
  <c r="C47" i="1" a="1"/>
  <c r="C47" i="1"/>
  <c r="C48" i="1" a="1"/>
  <c r="C48" i="1"/>
  <c r="C49" i="1" a="1"/>
  <c r="C49" i="1"/>
  <c r="C50" i="1" a="1"/>
  <c r="C50" i="1"/>
  <c r="C51" i="1" a="1"/>
  <c r="C51" i="1"/>
  <c r="C52" i="1" a="1"/>
  <c r="C52" i="1"/>
  <c r="C53" i="1" a="1"/>
  <c r="C53" i="1"/>
  <c r="C54" i="1" a="1"/>
  <c r="C54" i="1"/>
  <c r="C55" i="1" a="1"/>
  <c r="C55" i="1"/>
  <c r="C56" i="1" a="1"/>
  <c r="C56" i="1"/>
  <c r="C57" i="1" a="1"/>
  <c r="C57" i="1"/>
  <c r="C58" i="1" a="1"/>
  <c r="C58" i="1"/>
  <c r="C59" i="1" a="1"/>
  <c r="C59" i="1"/>
  <c r="C60" i="1" a="1"/>
  <c r="C60" i="1"/>
  <c r="C61" i="1" a="1"/>
  <c r="C61" i="1"/>
  <c r="C62" i="1" a="1"/>
  <c r="C62" i="1"/>
  <c r="C63" i="1" a="1"/>
  <c r="C63" i="1"/>
  <c r="C64" i="1" a="1"/>
  <c r="C64" i="1"/>
  <c r="C65" i="1" a="1"/>
  <c r="C65" i="1"/>
  <c r="C66" i="1" a="1"/>
  <c r="C66" i="1"/>
  <c r="C67" i="1" a="1"/>
  <c r="C67" i="1"/>
  <c r="C68" i="1" a="1"/>
  <c r="C68" i="1"/>
  <c r="C69" i="1" a="1"/>
  <c r="C69" i="1"/>
  <c r="C70" i="1" a="1"/>
  <c r="C70" i="1"/>
  <c r="C71" i="1" a="1"/>
  <c r="C71" i="1"/>
  <c r="C72" i="1" a="1"/>
  <c r="C72" i="1"/>
  <c r="C73" i="1" a="1"/>
  <c r="C73" i="1"/>
  <c r="C74" i="1" a="1"/>
  <c r="C74" i="1"/>
  <c r="C75" i="1" a="1"/>
  <c r="C75" i="1"/>
  <c r="C76" i="1" a="1"/>
  <c r="C76" i="1"/>
  <c r="C77" i="1" a="1"/>
  <c r="C77" i="1"/>
  <c r="C78" i="1" a="1"/>
  <c r="C78" i="1"/>
  <c r="C79" i="1" a="1"/>
  <c r="C79" i="1"/>
  <c r="C80" i="1" a="1"/>
  <c r="C80" i="1"/>
  <c r="G50" i="2" a="1"/>
  <c r="G50" i="2"/>
  <c r="G49" i="2" a="1"/>
  <c r="G49" i="2"/>
  <c r="H11" i="9"/>
  <c r="B442" i="1" a="1"/>
  <c r="B442" i="1"/>
  <c r="C442" i="1" a="1"/>
  <c r="C442" i="1"/>
  <c r="B441" i="1" a="1"/>
  <c r="B441" i="1"/>
  <c r="C441" i="1" a="1"/>
  <c r="C441" i="1"/>
  <c r="B444" i="1" a="1"/>
  <c r="B444" i="1"/>
  <c r="C444" i="1" a="1"/>
  <c r="C444" i="1"/>
  <c r="B445" i="1" a="1"/>
  <c r="B445" i="1"/>
  <c r="C445" i="1" a="1"/>
  <c r="C445" i="1"/>
  <c r="B446" i="1" a="1"/>
  <c r="B446" i="1"/>
  <c r="C446" i="1" a="1"/>
  <c r="C446" i="1"/>
  <c r="B447" i="1" a="1"/>
  <c r="B447" i="1"/>
  <c r="C447" i="1" a="1"/>
  <c r="C447" i="1"/>
  <c r="B449" i="1" a="1"/>
  <c r="B449" i="1"/>
  <c r="C449" i="1" a="1"/>
  <c r="C449" i="1"/>
  <c r="G6" i="2" a="1"/>
  <c r="G6" i="2"/>
  <c r="G38" i="2" a="1"/>
  <c r="G38" i="2"/>
  <c r="G41" i="2" a="1"/>
  <c r="G41" i="2"/>
  <c r="B423" i="1" a="1"/>
  <c r="B423" i="1"/>
  <c r="C423" i="1" a="1"/>
  <c r="C423" i="1"/>
  <c r="B422" i="1" a="1"/>
  <c r="B422" i="1"/>
  <c r="C422" i="1" a="1"/>
  <c r="C422" i="1"/>
  <c r="B388" i="1" a="1"/>
  <c r="B388" i="1"/>
  <c r="C388" i="1" a="1"/>
  <c r="C388" i="1"/>
  <c r="B389" i="1" a="1"/>
  <c r="B389" i="1"/>
  <c r="C389" i="1" a="1"/>
  <c r="C389" i="1"/>
  <c r="B390" i="1" a="1"/>
  <c r="B390" i="1"/>
  <c r="C390" i="1" a="1"/>
  <c r="C390" i="1"/>
  <c r="B391" i="1" a="1"/>
  <c r="B391" i="1"/>
  <c r="C391" i="1" a="1"/>
  <c r="C391" i="1"/>
  <c r="B392" i="1" a="1"/>
  <c r="B392" i="1"/>
  <c r="C392" i="1" a="1"/>
  <c r="C392" i="1"/>
  <c r="B393" i="1" a="1"/>
  <c r="B393" i="1"/>
  <c r="C393" i="1" a="1"/>
  <c r="C393" i="1"/>
  <c r="B394" i="1" a="1"/>
  <c r="B394" i="1"/>
  <c r="C394" i="1" a="1"/>
  <c r="C394" i="1"/>
  <c r="B395" i="1" a="1"/>
  <c r="B395" i="1"/>
  <c r="C395" i="1" a="1"/>
  <c r="C395" i="1"/>
  <c r="B396" i="1" a="1"/>
  <c r="B396" i="1"/>
  <c r="C396" i="1" a="1"/>
  <c r="C396" i="1"/>
  <c r="B397" i="1" a="1"/>
  <c r="B397" i="1"/>
  <c r="C397" i="1" a="1"/>
  <c r="C397" i="1"/>
  <c r="B398" i="1" a="1"/>
  <c r="B398" i="1"/>
  <c r="C398" i="1" a="1"/>
  <c r="C398" i="1"/>
  <c r="B399" i="1" a="1"/>
  <c r="B399" i="1"/>
  <c r="C399" i="1" a="1"/>
  <c r="C399" i="1"/>
  <c r="B400" i="1" a="1"/>
  <c r="B400" i="1"/>
  <c r="C400" i="1" a="1"/>
  <c r="C400" i="1"/>
  <c r="B401" i="1" a="1"/>
  <c r="B401" i="1"/>
  <c r="C401" i="1" a="1"/>
  <c r="C401" i="1"/>
  <c r="B402" i="1" a="1"/>
  <c r="B402" i="1"/>
  <c r="C402" i="1" a="1"/>
  <c r="C402" i="1"/>
  <c r="B403" i="1" a="1"/>
  <c r="B403" i="1"/>
  <c r="C403" i="1" a="1"/>
  <c r="C403" i="1"/>
  <c r="B404" i="1" a="1"/>
  <c r="B404" i="1"/>
  <c r="C404" i="1" a="1"/>
  <c r="C404" i="1"/>
  <c r="B405" i="1" a="1"/>
  <c r="B405" i="1"/>
  <c r="C405" i="1" a="1"/>
  <c r="C405" i="1"/>
  <c r="B406" i="1" a="1"/>
  <c r="B406" i="1"/>
  <c r="C406" i="1" a="1"/>
  <c r="C406" i="1"/>
  <c r="B407" i="1" a="1"/>
  <c r="B407" i="1"/>
  <c r="C407" i="1" a="1"/>
  <c r="C407" i="1"/>
  <c r="B408" i="1" a="1"/>
  <c r="B408" i="1"/>
  <c r="C408" i="1" a="1"/>
  <c r="C408" i="1"/>
  <c r="B409" i="1" a="1"/>
  <c r="B409" i="1"/>
  <c r="C409" i="1" a="1"/>
  <c r="C409" i="1"/>
  <c r="B410" i="1" a="1"/>
  <c r="B410" i="1"/>
  <c r="C410" i="1" a="1"/>
  <c r="C410" i="1"/>
  <c r="B411" i="1" a="1"/>
  <c r="B411" i="1"/>
  <c r="C411" i="1" a="1"/>
  <c r="C411" i="1"/>
  <c r="B413" i="1" a="1"/>
  <c r="B413" i="1"/>
  <c r="C413" i="1" a="1"/>
  <c r="C413" i="1"/>
  <c r="B414" i="1" a="1"/>
  <c r="B414" i="1"/>
  <c r="C414" i="1" a="1"/>
  <c r="C414" i="1"/>
  <c r="B415" i="1" a="1"/>
  <c r="B415" i="1"/>
  <c r="C415" i="1" a="1"/>
  <c r="C415" i="1"/>
  <c r="B416" i="1" a="1"/>
  <c r="B416" i="1"/>
  <c r="C416" i="1" a="1"/>
  <c r="C416" i="1"/>
  <c r="B417" i="1" a="1"/>
  <c r="B417" i="1"/>
  <c r="C417" i="1" a="1"/>
  <c r="C417" i="1"/>
  <c r="B418" i="1" a="1"/>
  <c r="B418" i="1"/>
  <c r="C418" i="1" a="1"/>
  <c r="C418" i="1"/>
  <c r="B419" i="1" a="1"/>
  <c r="B419" i="1"/>
  <c r="C419" i="1" a="1"/>
  <c r="C419" i="1"/>
  <c r="B420" i="1" a="1"/>
  <c r="B420" i="1"/>
  <c r="C420" i="1" a="1"/>
  <c r="C420" i="1"/>
  <c r="B427" i="1" a="1"/>
  <c r="B427" i="1"/>
  <c r="C427" i="1" a="1"/>
  <c r="C427" i="1"/>
  <c r="B428" i="1" a="1"/>
  <c r="B428" i="1"/>
  <c r="C428" i="1" a="1"/>
  <c r="C428" i="1"/>
  <c r="B429" i="1" a="1"/>
  <c r="B429" i="1"/>
  <c r="C429" i="1" a="1"/>
  <c r="C429" i="1"/>
  <c r="B431" i="1" a="1"/>
  <c r="B431" i="1"/>
  <c r="C431" i="1" a="1"/>
  <c r="C431" i="1"/>
  <c r="B432" i="1" a="1"/>
  <c r="B432" i="1"/>
  <c r="C432" i="1" a="1"/>
  <c r="C432" i="1"/>
  <c r="B433" i="1" a="1"/>
  <c r="B433" i="1"/>
  <c r="C433" i="1" a="1"/>
  <c r="C433" i="1"/>
  <c r="B434" i="1" a="1"/>
  <c r="B434" i="1"/>
  <c r="C434" i="1" a="1"/>
  <c r="C434" i="1"/>
  <c r="B435" i="1" a="1"/>
  <c r="B435" i="1"/>
  <c r="C435" i="1" a="1"/>
  <c r="C435" i="1"/>
  <c r="B436" i="1" a="1"/>
  <c r="B436" i="1"/>
  <c r="C436" i="1" a="1"/>
  <c r="C436" i="1"/>
  <c r="B437" i="1" a="1"/>
  <c r="B437" i="1"/>
  <c r="C437" i="1" a="1"/>
  <c r="C437" i="1"/>
  <c r="B438" i="1" a="1"/>
  <c r="B438" i="1"/>
  <c r="C438" i="1" a="1"/>
  <c r="C438" i="1"/>
  <c r="B439" i="1" a="1"/>
  <c r="B439" i="1"/>
  <c r="C439" i="1" a="1"/>
  <c r="C439" i="1"/>
  <c r="B440" i="1" a="1"/>
  <c r="B440" i="1"/>
  <c r="C440" i="1" a="1"/>
  <c r="C440" i="1"/>
  <c r="B443" i="1" a="1"/>
  <c r="B443" i="1"/>
  <c r="C443" i="1" a="1"/>
  <c r="C443" i="1"/>
  <c r="B448" i="1" a="1"/>
  <c r="B448" i="1"/>
  <c r="C448" i="1" a="1"/>
  <c r="C448" i="1"/>
  <c r="B421" i="1" a="1"/>
  <c r="B421" i="1"/>
  <c r="C421" i="1" a="1"/>
  <c r="C421" i="1"/>
  <c r="B24" i="1" a="1"/>
  <c r="B24" i="1"/>
  <c r="B25" i="1" a="1"/>
  <c r="B25" i="1"/>
  <c r="B26" i="1" a="1"/>
  <c r="B26" i="1"/>
  <c r="B27" i="1" a="1"/>
  <c r="B27" i="1"/>
  <c r="C24" i="1" a="1"/>
  <c r="C24" i="1"/>
  <c r="C25" i="1" a="1"/>
  <c r="C25" i="1"/>
  <c r="C26" i="1" a="1"/>
  <c r="C26" i="1"/>
  <c r="C27" i="1" a="1"/>
  <c r="C27" i="1"/>
  <c r="B17" i="1" a="1"/>
  <c r="B17" i="1"/>
  <c r="B18" i="1" a="1"/>
  <c r="B18" i="1"/>
  <c r="B19" i="1" a="1"/>
  <c r="B19" i="1"/>
  <c r="B20" i="1" a="1"/>
  <c r="B20" i="1"/>
  <c r="B21" i="1" a="1"/>
  <c r="B21" i="1"/>
  <c r="B22" i="1" a="1"/>
  <c r="B22" i="1"/>
  <c r="B23" i="1" a="1"/>
  <c r="B23" i="1"/>
  <c r="C17" i="1" a="1"/>
  <c r="C17" i="1"/>
  <c r="C18" i="1" a="1"/>
  <c r="C18" i="1"/>
  <c r="C19" i="1" a="1"/>
  <c r="C19" i="1"/>
  <c r="C20" i="1" a="1"/>
  <c r="C20" i="1"/>
  <c r="C21" i="1" a="1"/>
  <c r="C21" i="1"/>
  <c r="C22" i="1" a="1"/>
  <c r="C22" i="1"/>
  <c r="C23" i="1" a="1"/>
  <c r="C23" i="1"/>
  <c r="B450" i="1" a="1"/>
  <c r="B450" i="1"/>
  <c r="B452" i="1" a="1"/>
  <c r="B452" i="1"/>
  <c r="B453" i="1" a="1"/>
  <c r="B453" i="1"/>
  <c r="B454" i="1" a="1"/>
  <c r="B454" i="1"/>
  <c r="B455" i="1" a="1"/>
  <c r="B455" i="1"/>
  <c r="B2" i="1" a="1"/>
  <c r="B2" i="1"/>
  <c r="B3" i="1" a="1"/>
  <c r="B3" i="1"/>
  <c r="B4" i="1" a="1"/>
  <c r="B4" i="1"/>
  <c r="B5" i="1" a="1"/>
  <c r="B5" i="1"/>
  <c r="B6" i="1" a="1"/>
  <c r="B6" i="1"/>
  <c r="B7" i="1" a="1"/>
  <c r="B7" i="1"/>
  <c r="B8" i="1" a="1"/>
  <c r="B8" i="1"/>
  <c r="B9" i="1" a="1"/>
  <c r="B9" i="1"/>
  <c r="B10" i="1" a="1"/>
  <c r="B10" i="1"/>
  <c r="B11" i="1" a="1"/>
  <c r="B11" i="1"/>
  <c r="B12" i="1" a="1"/>
  <c r="B12" i="1"/>
  <c r="B13" i="1" a="1"/>
  <c r="B13" i="1"/>
  <c r="B14" i="1" a="1"/>
  <c r="B14" i="1"/>
  <c r="B15" i="1" a="1"/>
  <c r="B15" i="1"/>
  <c r="B16" i="1" a="1"/>
  <c r="B16" i="1"/>
  <c r="C450" i="1" a="1"/>
  <c r="C450" i="1"/>
  <c r="C452" i="1" a="1"/>
  <c r="C452" i="1"/>
  <c r="C453" i="1" a="1"/>
  <c r="C453" i="1"/>
  <c r="C454" i="1" a="1"/>
  <c r="C454" i="1"/>
  <c r="C455" i="1" a="1"/>
  <c r="C455" i="1"/>
  <c r="C2" i="1" a="1"/>
  <c r="C2" i="1"/>
  <c r="C3" i="1" a="1"/>
  <c r="C3" i="1"/>
  <c r="C4" i="1" a="1"/>
  <c r="C4" i="1"/>
  <c r="C5" i="1" a="1"/>
  <c r="C5" i="1"/>
  <c r="C6" i="1" a="1"/>
  <c r="C6" i="1"/>
  <c r="C7" i="1" a="1"/>
  <c r="C7" i="1"/>
  <c r="C8" i="1" a="1"/>
  <c r="C8" i="1"/>
  <c r="C9" i="1" a="1"/>
  <c r="C9" i="1"/>
  <c r="C10" i="1" a="1"/>
  <c r="C10" i="1"/>
  <c r="C11" i="1" a="1"/>
  <c r="C11" i="1"/>
  <c r="C12" i="1" a="1"/>
  <c r="C12" i="1"/>
  <c r="C13" i="1" a="1"/>
  <c r="C13" i="1"/>
  <c r="C14" i="1" a="1"/>
  <c r="C14" i="1"/>
  <c r="C15" i="1" a="1"/>
  <c r="C15" i="1"/>
  <c r="C16" i="1" a="1"/>
  <c r="C16" i="1"/>
  <c r="B383" i="1" a="1"/>
  <c r="B383" i="1"/>
  <c r="B384" i="1" a="1"/>
  <c r="B384" i="1"/>
  <c r="B385" i="1" a="1"/>
  <c r="B385" i="1"/>
  <c r="B386" i="1" a="1"/>
  <c r="B386" i="1"/>
  <c r="B387" i="1" a="1"/>
  <c r="B387" i="1"/>
  <c r="B424" i="1" a="1"/>
  <c r="B424" i="1"/>
  <c r="B425" i="1" a="1"/>
  <c r="B425" i="1"/>
  <c r="B426" i="1" a="1"/>
  <c r="B426" i="1"/>
  <c r="C383" i="1" a="1"/>
  <c r="C383" i="1"/>
  <c r="C384" i="1" a="1"/>
  <c r="C384" i="1"/>
  <c r="C385" i="1" a="1"/>
  <c r="C385" i="1"/>
  <c r="C386" i="1" a="1"/>
  <c r="C386" i="1"/>
  <c r="C387" i="1" a="1"/>
  <c r="C387" i="1"/>
  <c r="C424" i="1" a="1"/>
  <c r="C424" i="1"/>
  <c r="C425" i="1" a="1"/>
  <c r="C425" i="1"/>
  <c r="C426" i="1" a="1"/>
  <c r="C426" i="1"/>
  <c r="G5" i="2" a="1"/>
  <c r="G5" i="2"/>
  <c r="B363" i="1" a="1"/>
  <c r="B363" i="1"/>
  <c r="G2" i="2" a="1"/>
  <c r="G2" i="2"/>
  <c r="B371" i="1" a="1"/>
  <c r="B371" i="1"/>
  <c r="B372" i="1" a="1"/>
  <c r="B372" i="1"/>
  <c r="B373" i="1" a="1"/>
  <c r="B373" i="1"/>
  <c r="B374" i="1" a="1"/>
  <c r="B374" i="1"/>
  <c r="B375" i="1" a="1"/>
  <c r="B375" i="1"/>
  <c r="B376" i="1" a="1"/>
  <c r="B376" i="1"/>
  <c r="B377" i="1" a="1"/>
  <c r="B377" i="1"/>
  <c r="B378" i="1" a="1"/>
  <c r="B378" i="1"/>
  <c r="B379" i="1" a="1"/>
  <c r="B379" i="1"/>
  <c r="B380" i="1" a="1"/>
  <c r="B380" i="1"/>
  <c r="B381" i="1" a="1"/>
  <c r="B381" i="1" s="1"/>
  <c r="B382" i="1" a="1"/>
  <c r="B382" i="1"/>
  <c r="C371" i="1" a="1"/>
  <c r="C371" i="1"/>
  <c r="C372" i="1" a="1"/>
  <c r="C372" i="1" s="1"/>
  <c r="C373" i="1" a="1"/>
  <c r="C373" i="1"/>
  <c r="C374" i="1" a="1"/>
  <c r="C374" i="1"/>
  <c r="C375" i="1" a="1"/>
  <c r="C375" i="1" s="1"/>
  <c r="C376" i="1" a="1"/>
  <c r="C376" i="1"/>
  <c r="C377" i="1" a="1"/>
  <c r="C377" i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G4" i="2" a="1"/>
  <c r="G4" i="2"/>
  <c r="G48" i="2" a="1"/>
  <c r="G48" i="2"/>
  <c r="G58" i="2" a="1"/>
  <c r="G58" i="2"/>
  <c r="G57" i="2" a="1"/>
  <c r="G57" i="2"/>
  <c r="G47" i="2" a="1"/>
  <c r="G47" i="2"/>
  <c r="G56" i="2" a="1"/>
  <c r="G56" i="2"/>
  <c r="G3" i="2" a="1"/>
  <c r="G3" i="2"/>
  <c r="G23" i="2" a="1"/>
  <c r="G23" i="2"/>
  <c r="G22" i="2" a="1"/>
  <c r="G22" i="2"/>
  <c r="G21" i="2" a="1"/>
  <c r="G21" i="2"/>
  <c r="G20" i="2" a="1"/>
  <c r="G20" i="2"/>
  <c r="G46" i="2" a="1"/>
  <c r="G46" i="2"/>
  <c r="G45" i="2" a="1"/>
  <c r="G45" i="2"/>
  <c r="G44" i="2" a="1"/>
  <c r="G44" i="2"/>
  <c r="G43" i="2" a="1"/>
  <c r="G43" i="2"/>
  <c r="G42" i="2" a="1"/>
  <c r="G42" i="2"/>
  <c r="G19" i="2" a="1"/>
  <c r="G19" i="2"/>
  <c r="G18" i="2" a="1"/>
  <c r="G18" i="2"/>
  <c r="G17" i="2" a="1"/>
  <c r="G17" i="2"/>
  <c r="G16" i="2" a="1"/>
  <c r="G16" i="2"/>
  <c r="G15" i="2" a="1"/>
  <c r="G15" i="2"/>
  <c r="G14" i="2" a="1"/>
  <c r="G14" i="2"/>
  <c r="G62" i="2" a="1"/>
  <c r="G62" i="2"/>
  <c r="G61" i="2" a="1"/>
  <c r="G61" i="2"/>
  <c r="G60" i="2" a="1"/>
  <c r="G60" i="2"/>
  <c r="G59" i="2" a="1"/>
  <c r="G59" i="2"/>
  <c r="B357" i="1" a="1"/>
  <c r="B357" i="1" s="1"/>
  <c r="B358" i="1" a="1"/>
  <c r="B358" i="1" s="1"/>
  <c r="B359" i="1" a="1"/>
  <c r="B359" i="1" s="1"/>
  <c r="B360" i="1" a="1"/>
  <c r="B360" i="1" s="1"/>
  <c r="B361" i="1" a="1"/>
  <c r="B361" i="1" s="1"/>
  <c r="B362" i="1" a="1"/>
  <c r="B362" i="1" s="1"/>
  <c r="B364" i="1" a="1"/>
  <c r="B364" i="1" s="1"/>
  <c r="B365" i="1" a="1"/>
  <c r="B365" i="1" s="1"/>
  <c r="B370" i="1" a="1"/>
  <c r="B370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70" i="1" a="1"/>
  <c r="C370" i="1" s="1"/>
  <c r="B338" i="1" a="1"/>
  <c r="B338" i="1" s="1"/>
  <c r="B339" i="1" a="1"/>
  <c r="B339" i="1" s="1"/>
  <c r="B340" i="1" a="1"/>
  <c r="B340" i="1" s="1"/>
  <c r="B341" i="1" a="1"/>
  <c r="B341" i="1" s="1"/>
  <c r="B342" i="1" a="1"/>
  <c r="B342" i="1" s="1"/>
  <c r="B343" i="1" a="1"/>
  <c r="B343" i="1" s="1"/>
  <c r="B344" i="1" a="1"/>
  <c r="B344" i="1" s="1"/>
  <c r="B345" i="1" a="1"/>
  <c r="B345" i="1" s="1"/>
  <c r="B346" i="1" a="1"/>
  <c r="B346" i="1" s="1"/>
  <c r="B347" i="1" a="1"/>
  <c r="B347" i="1" s="1"/>
  <c r="B348" i="1" a="1"/>
  <c r="B348" i="1" s="1"/>
  <c r="B349" i="1" a="1"/>
  <c r="B349" i="1" s="1"/>
  <c r="B350" i="1" a="1"/>
  <c r="B350" i="1" s="1"/>
  <c r="B351" i="1" a="1"/>
  <c r="B351" i="1" s="1"/>
  <c r="B352" i="1" a="1"/>
  <c r="B352" i="1" s="1"/>
  <c r="B353" i="1" a="1"/>
  <c r="B353" i="1" s="1"/>
  <c r="B354" i="1" a="1"/>
  <c r="B354" i="1" s="1"/>
  <c r="B355" i="1" a="1"/>
  <c r="B355" i="1" s="1"/>
  <c r="B356" i="1" a="1"/>
  <c r="B356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B309" i="1" a="1"/>
  <c r="B309" i="1" s="1"/>
  <c r="C309" i="1" a="1"/>
  <c r="C309" i="1" s="1"/>
  <c r="B274" i="1" a="1"/>
  <c r="B274" i="1" s="1"/>
  <c r="C274" i="1" a="1"/>
  <c r="C274" i="1" s="1"/>
  <c r="B275" i="1" a="1"/>
  <c r="B275" i="1" s="1"/>
  <c r="C275" i="1" a="1"/>
  <c r="C275" i="1" s="1"/>
  <c r="B276" i="1" a="1"/>
  <c r="B276" i="1" s="1"/>
  <c r="C276" i="1" a="1"/>
  <c r="C276" i="1" s="1"/>
  <c r="B277" i="1" a="1"/>
  <c r="B277" i="1" s="1"/>
  <c r="C277" i="1" a="1"/>
  <c r="C277" i="1" s="1"/>
  <c r="B278" i="1" a="1"/>
  <c r="B278" i="1" s="1"/>
  <c r="C278" i="1" a="1"/>
  <c r="C278" i="1" s="1"/>
  <c r="B279" i="1" a="1"/>
  <c r="B279" i="1" s="1"/>
  <c r="C279" i="1" a="1"/>
  <c r="C279" i="1" s="1"/>
  <c r="B280" i="1" a="1"/>
  <c r="B280" i="1" s="1"/>
  <c r="C280" i="1" a="1"/>
  <c r="C280" i="1" s="1"/>
  <c r="B281" i="1" a="1"/>
  <c r="B281" i="1" s="1"/>
  <c r="C281" i="1" a="1"/>
  <c r="C281" i="1" s="1"/>
  <c r="B282" i="1" a="1"/>
  <c r="B282" i="1" s="1"/>
  <c r="C282" i="1" a="1"/>
  <c r="C282" i="1" s="1"/>
  <c r="B283" i="1" a="1"/>
  <c r="B283" i="1" s="1"/>
  <c r="C283" i="1" a="1"/>
  <c r="C283" i="1" s="1"/>
  <c r="B284" i="1" a="1"/>
  <c r="B284" i="1" s="1"/>
  <c r="C284" i="1" a="1"/>
  <c r="C284" i="1" s="1"/>
  <c r="B285" i="1" a="1"/>
  <c r="B285" i="1" s="1"/>
  <c r="C285" i="1" a="1"/>
  <c r="C285" i="1" s="1"/>
  <c r="B286" i="1" a="1"/>
  <c r="B286" i="1" s="1"/>
  <c r="C286" i="1" a="1"/>
  <c r="C286" i="1" s="1"/>
  <c r="B288" i="1" a="1"/>
  <c r="B288" i="1" s="1"/>
  <c r="C288" i="1" a="1"/>
  <c r="C288" i="1" s="1"/>
  <c r="B289" i="1" a="1"/>
  <c r="B289" i="1" s="1"/>
  <c r="C289" i="1" a="1"/>
  <c r="C289" i="1" s="1"/>
  <c r="B290" i="1" a="1"/>
  <c r="B290" i="1" s="1"/>
  <c r="C290" i="1" a="1"/>
  <c r="C290" i="1" s="1"/>
  <c r="B291" i="1" a="1"/>
  <c r="B291" i="1" s="1"/>
  <c r="C291" i="1" a="1"/>
  <c r="C291" i="1" s="1"/>
  <c r="B292" i="1" a="1"/>
  <c r="B292" i="1" s="1"/>
  <c r="C292" i="1" a="1"/>
  <c r="C292" i="1" s="1"/>
  <c r="B293" i="1" a="1"/>
  <c r="B293" i="1" s="1"/>
  <c r="C293" i="1" a="1"/>
  <c r="C293" i="1" s="1"/>
  <c r="B294" i="1" a="1"/>
  <c r="B294" i="1" s="1"/>
  <c r="C294" i="1" a="1"/>
  <c r="C294" i="1" s="1"/>
  <c r="B295" i="1" a="1"/>
  <c r="B295" i="1" s="1"/>
  <c r="C295" i="1" a="1"/>
  <c r="C295" i="1" s="1"/>
  <c r="B296" i="1" a="1"/>
  <c r="B296" i="1" s="1"/>
  <c r="C296" i="1" a="1"/>
  <c r="C296" i="1" s="1"/>
  <c r="B297" i="1" a="1"/>
  <c r="B297" i="1" s="1"/>
  <c r="C297" i="1" a="1"/>
  <c r="C297" i="1" s="1"/>
  <c r="B298" i="1" a="1"/>
  <c r="B298" i="1" s="1"/>
  <c r="C298" i="1" a="1"/>
  <c r="C298" i="1" s="1"/>
  <c r="B299" i="1" a="1"/>
  <c r="B299" i="1" s="1"/>
  <c r="C299" i="1" a="1"/>
  <c r="C299" i="1" s="1"/>
  <c r="B300" i="1" a="1"/>
  <c r="B300" i="1" s="1"/>
  <c r="C300" i="1" a="1"/>
  <c r="C300" i="1" s="1"/>
  <c r="B301" i="1" a="1"/>
  <c r="B301" i="1" s="1"/>
  <c r="C301" i="1" a="1"/>
  <c r="C301" i="1" s="1"/>
  <c r="B302" i="1" a="1"/>
  <c r="B302" i="1" s="1"/>
  <c r="C302" i="1" a="1"/>
  <c r="C302" i="1" s="1"/>
  <c r="B303" i="1" a="1"/>
  <c r="B303" i="1" s="1"/>
  <c r="C303" i="1" a="1"/>
  <c r="C303" i="1" s="1"/>
  <c r="B304" i="1" a="1"/>
  <c r="B304" i="1" s="1"/>
  <c r="C304" i="1" a="1"/>
  <c r="C304" i="1" s="1"/>
  <c r="B305" i="1" a="1"/>
  <c r="B305" i="1" s="1"/>
  <c r="C305" i="1" a="1"/>
  <c r="C305" i="1" s="1"/>
  <c r="B306" i="1" a="1"/>
  <c r="B306" i="1" s="1"/>
  <c r="C306" i="1" a="1"/>
  <c r="C306" i="1" s="1"/>
  <c r="B307" i="1" a="1"/>
  <c r="B307" i="1" s="1"/>
  <c r="C307" i="1" a="1"/>
  <c r="C307" i="1" s="1"/>
  <c r="B308" i="1" a="1"/>
  <c r="B308" i="1" s="1"/>
  <c r="C308" i="1" a="1"/>
  <c r="C308" i="1" s="1"/>
  <c r="B310" i="1" a="1"/>
  <c r="B310" i="1" s="1"/>
  <c r="C310" i="1" a="1"/>
  <c r="C310" i="1" s="1"/>
  <c r="G12" i="2" a="1"/>
  <c r="G12" i="2" s="1"/>
  <c r="G13" i="2" a="1"/>
  <c r="G13" i="2" s="1"/>
  <c r="G64" i="2" a="1"/>
  <c r="G64" i="2" s="1"/>
  <c r="C91" i="1" a="1"/>
  <c r="C91" i="1" s="1"/>
  <c r="C93" i="1" a="1"/>
  <c r="C93" i="1" s="1"/>
  <c r="C94" i="1" a="1"/>
  <c r="C94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B94" i="1" a="1"/>
  <c r="B94" i="1" s="1"/>
  <c r="B93" i="1" a="1"/>
  <c r="B93" i="1" s="1"/>
  <c r="B91" i="1" a="1"/>
  <c r="B91" i="1" s="1"/>
  <c r="B337" i="1" a="1"/>
  <c r="B337" i="1" s="1"/>
  <c r="B335" i="1" a="1"/>
  <c r="B335" i="1" s="1"/>
  <c r="B334" i="1" a="1"/>
  <c r="B334" i="1" s="1"/>
  <c r="B326" i="1" a="1"/>
  <c r="B326" i="1" s="1"/>
  <c r="B325" i="1" a="1"/>
  <c r="B325" i="1" s="1"/>
  <c r="B324" i="1" a="1"/>
  <c r="B324" i="1" s="1"/>
  <c r="B323" i="1" a="1"/>
  <c r="B323" i="1" s="1"/>
  <c r="B322" i="1" a="1"/>
  <c r="B322" i="1" s="1"/>
  <c r="B321" i="1" a="1"/>
  <c r="B321" i="1" s="1"/>
  <c r="B318" i="1" a="1"/>
  <c r="B318" i="1" s="1"/>
  <c r="B317" i="1" a="1"/>
  <c r="B317" i="1" s="1"/>
  <c r="B316" i="1" a="1"/>
  <c r="B316" i="1" s="1"/>
  <c r="B315" i="1" a="1"/>
  <c r="B315" i="1" s="1"/>
  <c r="B314" i="1" a="1"/>
  <c r="B314" i="1" s="1"/>
  <c r="B313" i="1" a="1"/>
  <c r="B313" i="1" s="1"/>
  <c r="B312" i="1" a="1"/>
  <c r="B312" i="1" s="1"/>
  <c r="B273" i="1" a="1"/>
  <c r="B273" i="1" s="1"/>
  <c r="B272" i="1" a="1"/>
  <c r="B272" i="1" s="1"/>
  <c r="B271" i="1" a="1"/>
  <c r="B271" i="1" s="1"/>
  <c r="B268" i="1" a="1"/>
  <c r="B268" i="1" s="1"/>
  <c r="B267" i="1" a="1"/>
  <c r="B267" i="1" s="1"/>
  <c r="B264" i="1" a="1"/>
  <c r="B264" i="1" s="1"/>
  <c r="B261" i="1" a="1"/>
  <c r="B261" i="1" s="1"/>
  <c r="B260" i="1" a="1"/>
  <c r="B260" i="1" s="1"/>
  <c r="B259" i="1" a="1"/>
  <c r="B259" i="1" s="1"/>
  <c r="B257" i="1" a="1"/>
  <c r="B257" i="1" s="1"/>
  <c r="B253" i="1" a="1"/>
  <c r="B253" i="1" s="1"/>
  <c r="B251" i="1" a="1"/>
  <c r="B251" i="1" s="1"/>
  <c r="B250" i="1" a="1"/>
  <c r="B250" i="1" s="1"/>
  <c r="B249" i="1" a="1"/>
  <c r="B249" i="1" s="1"/>
  <c r="B248" i="1" a="1"/>
  <c r="B248" i="1" s="1"/>
  <c r="B247" i="1" a="1"/>
  <c r="B247" i="1" s="1"/>
  <c r="B245" i="1" a="1"/>
  <c r="B245" i="1" s="1"/>
  <c r="B242" i="1" a="1"/>
  <c r="B242" i="1" s="1"/>
  <c r="B241" i="1" a="1"/>
  <c r="B241" i="1" s="1"/>
  <c r="B240" i="1" a="1"/>
  <c r="B240" i="1" s="1"/>
  <c r="B238" i="1" a="1"/>
  <c r="B238" i="1" s="1"/>
  <c r="B236" i="1" a="1"/>
  <c r="B236" i="1" s="1"/>
  <c r="B235" i="1" a="1"/>
  <c r="B235" i="1" s="1"/>
  <c r="B233" i="1" a="1"/>
  <c r="B233" i="1" s="1"/>
  <c r="B232" i="1" a="1"/>
  <c r="B232" i="1" s="1"/>
  <c r="B228" i="1" a="1"/>
  <c r="B228" i="1" s="1"/>
  <c r="B227" i="1" a="1"/>
  <c r="B227" i="1" s="1"/>
  <c r="B226" i="1" a="1"/>
  <c r="B226" i="1" s="1"/>
  <c r="B225" i="1" a="1"/>
  <c r="B225" i="1" s="1"/>
  <c r="B224" i="1" a="1"/>
  <c r="B224" i="1" s="1"/>
  <c r="B223" i="1" a="1"/>
  <c r="B223" i="1" s="1"/>
  <c r="B222" i="1" a="1"/>
  <c r="B222" i="1" s="1"/>
  <c r="B221" i="1" a="1"/>
  <c r="B221" i="1" s="1"/>
  <c r="B220" i="1" a="1"/>
  <c r="B220" i="1" s="1"/>
  <c r="B218" i="1" a="1"/>
  <c r="B218" i="1" s="1"/>
  <c r="B217" i="1" a="1"/>
  <c r="B217" i="1" s="1"/>
  <c r="B216" i="1" a="1"/>
  <c r="B216" i="1" s="1"/>
  <c r="B214" i="1" a="1"/>
  <c r="B214" i="1" s="1"/>
  <c r="B213" i="1" a="1"/>
  <c r="B213" i="1" s="1"/>
  <c r="B211" i="1" a="1"/>
  <c r="B211" i="1" s="1"/>
  <c r="B210" i="1" a="1"/>
  <c r="B210" i="1" s="1"/>
  <c r="B209" i="1" a="1"/>
  <c r="B209" i="1" s="1"/>
  <c r="B208" i="1" a="1"/>
  <c r="B208" i="1" s="1"/>
  <c r="B207" i="1" a="1"/>
  <c r="B207" i="1" s="1"/>
  <c r="B206" i="1" a="1"/>
  <c r="B206" i="1" s="1"/>
  <c r="B201" i="1" a="1"/>
  <c r="B201" i="1" s="1"/>
  <c r="B197" i="1" a="1"/>
  <c r="B197" i="1" s="1"/>
  <c r="B196" i="1" a="1"/>
  <c r="B196" i="1" s="1"/>
  <c r="B194" i="1" a="1"/>
  <c r="B194" i="1" s="1"/>
  <c r="B193" i="1" a="1"/>
  <c r="B193" i="1" s="1"/>
  <c r="B192" i="1" a="1"/>
  <c r="B192" i="1" s="1"/>
  <c r="B191" i="1" a="1"/>
  <c r="B191" i="1" s="1"/>
  <c r="B189" i="1" a="1"/>
  <c r="B189" i="1" s="1"/>
  <c r="B185" i="1" a="1"/>
  <c r="B185" i="1" s="1"/>
  <c r="B184" i="1" a="1"/>
  <c r="B184" i="1" s="1"/>
  <c r="B183" i="1" a="1"/>
  <c r="B183" i="1" s="1"/>
  <c r="B182" i="1" a="1"/>
  <c r="B182" i="1" s="1"/>
  <c r="B181" i="1" a="1"/>
  <c r="B181" i="1" s="1"/>
  <c r="B180" i="1" a="1"/>
  <c r="B180" i="1" s="1"/>
  <c r="B177" i="1" a="1"/>
  <c r="B177" i="1" s="1"/>
  <c r="B175" i="1" a="1"/>
  <c r="B175" i="1" s="1"/>
  <c r="B173" i="1" a="1"/>
  <c r="B173" i="1" s="1"/>
  <c r="B172" i="1" a="1"/>
  <c r="B172" i="1" s="1"/>
  <c r="B171" i="1" a="1"/>
  <c r="B171" i="1" s="1"/>
  <c r="B170" i="1" a="1"/>
  <c r="B170" i="1" s="1"/>
  <c r="B169" i="1" a="1"/>
  <c r="B169" i="1" s="1"/>
  <c r="B168" i="1" a="1"/>
  <c r="B168" i="1" s="1"/>
  <c r="B167" i="1" a="1"/>
  <c r="B167" i="1" s="1"/>
  <c r="B166" i="1" a="1"/>
  <c r="B166" i="1" s="1"/>
  <c r="B165" i="1" a="1"/>
  <c r="B165" i="1" s="1"/>
  <c r="B164" i="1" a="1"/>
  <c r="B164" i="1" s="1"/>
  <c r="B163" i="1" a="1"/>
  <c r="B163" i="1" s="1"/>
  <c r="B162" i="1" a="1"/>
  <c r="B162" i="1" s="1"/>
  <c r="B156" i="1" a="1"/>
  <c r="B156" i="1" s="1"/>
  <c r="B155" i="1" a="1"/>
  <c r="B155" i="1" s="1"/>
  <c r="B154" i="1" a="1"/>
  <c r="B154" i="1" s="1"/>
  <c r="B153" i="1" a="1"/>
  <c r="B153" i="1" s="1"/>
  <c r="B151" i="1" a="1"/>
  <c r="B151" i="1" s="1"/>
  <c r="B148" i="1" a="1"/>
  <c r="B148" i="1" s="1"/>
  <c r="B147" i="1" a="1"/>
  <c r="B147" i="1" s="1"/>
  <c r="B146" i="1" a="1"/>
  <c r="B146" i="1" s="1"/>
  <c r="B145" i="1" a="1"/>
  <c r="B145" i="1" s="1"/>
  <c r="B144" i="1" a="1"/>
  <c r="B144" i="1" s="1"/>
  <c r="B143" i="1" a="1"/>
  <c r="B143" i="1" s="1"/>
  <c r="B142" i="1" a="1"/>
  <c r="B142" i="1" s="1"/>
  <c r="B140" i="1" a="1"/>
  <c r="B140" i="1" s="1"/>
  <c r="B139" i="1" a="1"/>
  <c r="B139" i="1" s="1"/>
  <c r="B138" i="1" a="1"/>
  <c r="B138" i="1" s="1"/>
  <c r="B136" i="1" a="1"/>
  <c r="B136" i="1" s="1"/>
  <c r="B135" i="1" a="1"/>
  <c r="B135" i="1" s="1"/>
  <c r="B134" i="1" a="1"/>
  <c r="B134" i="1" s="1"/>
  <c r="B133" i="1" a="1"/>
  <c r="B133" i="1" s="1"/>
  <c r="B132" i="1" a="1"/>
  <c r="B132" i="1" s="1"/>
  <c r="B131" i="1" a="1"/>
  <c r="B131" i="1" s="1"/>
  <c r="B123" i="1" a="1"/>
  <c r="B123" i="1" s="1"/>
  <c r="B122" i="1" a="1"/>
  <c r="B122" i="1" s="1"/>
  <c r="B121" i="1" a="1"/>
  <c r="B121" i="1" s="1"/>
  <c r="B118" i="1" a="1"/>
  <c r="B118" i="1" s="1"/>
  <c r="B117" i="1" a="1"/>
  <c r="B117" i="1" s="1"/>
  <c r="B116" i="1" a="1"/>
  <c r="B116" i="1" s="1"/>
  <c r="B114" i="1" a="1"/>
  <c r="B114" i="1" s="1"/>
  <c r="B111" i="1" a="1"/>
  <c r="B111" i="1" s="1"/>
  <c r="B110" i="1" a="1"/>
  <c r="B110" i="1" s="1"/>
  <c r="B109" i="1" a="1"/>
  <c r="B109" i="1" s="1"/>
  <c r="B108" i="1" a="1"/>
  <c r="B108" i="1" s="1"/>
  <c r="B107" i="1" a="1"/>
  <c r="B107" i="1" s="1"/>
  <c r="B99" i="1" a="1"/>
  <c r="B99" i="1" s="1"/>
  <c r="B100" i="1" a="1"/>
  <c r="B100" i="1" s="1"/>
  <c r="B102" i="1" a="1"/>
  <c r="B102" i="1" s="1"/>
  <c r="B101" i="1" a="1"/>
  <c r="B101" i="1" s="1"/>
  <c r="B105" i="1" a="1"/>
  <c r="B105" i="1" s="1"/>
  <c r="G11" i="2" a="1"/>
  <c r="G11" i="2" s="1"/>
  <c r="B103" i="1" a="1"/>
  <c r="B103" i="1" s="1"/>
  <c r="B104" i="1" a="1"/>
  <c r="B104" i="1" s="1"/>
  <c r="B106" i="1" a="1"/>
  <c r="B106" i="1" s="1"/>
  <c r="B112" i="1" a="1"/>
  <c r="B112" i="1" s="1"/>
  <c r="H10" i="9"/>
  <c r="B126" i="1" a="1"/>
  <c r="B126" i="1" s="1"/>
  <c r="H9" i="9"/>
  <c r="H8" i="9"/>
  <c r="H7" i="9"/>
  <c r="H6" i="9"/>
  <c r="H4" i="9"/>
  <c r="H2" i="9"/>
  <c r="H3" i="9"/>
  <c r="G8" i="2" a="1"/>
  <c r="G8" i="2" s="1"/>
  <c r="G10" i="2" a="1"/>
  <c r="G10" i="2" s="1"/>
  <c r="G9" i="2" a="1"/>
  <c r="G9" i="2" s="1"/>
  <c r="G7" i="2" a="1"/>
  <c r="G7" i="2" s="1"/>
  <c r="B115" i="1" a="1"/>
  <c r="B115" i="1" s="1"/>
  <c r="B119" i="1" a="1"/>
  <c r="B119" i="1" s="1"/>
  <c r="B120" i="1" a="1"/>
  <c r="B120" i="1" s="1"/>
  <c r="B124" i="1" a="1"/>
  <c r="B124" i="1" s="1"/>
  <c r="B125" i="1" a="1"/>
  <c r="B125" i="1" s="1"/>
  <c r="B127" i="1" a="1"/>
  <c r="B127" i="1" s="1"/>
  <c r="B128" i="1" a="1"/>
  <c r="B128" i="1" s="1"/>
  <c r="B129" i="1" a="1"/>
  <c r="B129" i="1" s="1"/>
  <c r="B130" i="1" a="1"/>
  <c r="B130" i="1" s="1"/>
  <c r="B137" i="1" a="1"/>
  <c r="B137" i="1" s="1"/>
  <c r="B141" i="1" a="1"/>
  <c r="B141" i="1" s="1"/>
  <c r="B150" i="1" a="1"/>
  <c r="B150" i="1" s="1"/>
  <c r="B152" i="1" a="1"/>
  <c r="B152" i="1" s="1"/>
  <c r="B157" i="1" a="1"/>
  <c r="B157" i="1" s="1"/>
  <c r="B174" i="1" a="1"/>
  <c r="B174" i="1" s="1"/>
  <c r="B176" i="1" a="1"/>
  <c r="B176" i="1" s="1"/>
  <c r="B178" i="1" a="1"/>
  <c r="B178" i="1" s="1"/>
  <c r="B179" i="1" a="1"/>
  <c r="B179" i="1" s="1"/>
  <c r="B186" i="1" a="1"/>
  <c r="B186" i="1" s="1"/>
  <c r="B187" i="1" a="1"/>
  <c r="B187" i="1" s="1"/>
  <c r="B190" i="1" a="1"/>
  <c r="B190" i="1" s="1"/>
  <c r="B195" i="1" a="1"/>
  <c r="B195" i="1" s="1"/>
  <c r="B198" i="1" a="1"/>
  <c r="B198" i="1" s="1"/>
  <c r="B199" i="1" a="1"/>
  <c r="B199" i="1" s="1"/>
  <c r="B200" i="1" a="1"/>
  <c r="B200" i="1" s="1"/>
  <c r="B202" i="1" a="1"/>
  <c r="B202" i="1" s="1"/>
  <c r="B203" i="1" a="1"/>
  <c r="B203" i="1" s="1"/>
  <c r="B204" i="1" a="1"/>
  <c r="B204" i="1" s="1"/>
  <c r="B205" i="1" a="1"/>
  <c r="B205" i="1" s="1"/>
  <c r="B212" i="1" a="1"/>
  <c r="B212" i="1" s="1"/>
  <c r="B215" i="1" a="1"/>
  <c r="B215" i="1" s="1"/>
  <c r="B219" i="1" a="1"/>
  <c r="B219" i="1" s="1"/>
  <c r="B229" i="1" a="1"/>
  <c r="B229" i="1" s="1"/>
  <c r="B230" i="1" a="1"/>
  <c r="B230" i="1" s="1"/>
  <c r="B231" i="1" a="1"/>
  <c r="B231" i="1" s="1"/>
  <c r="B234" i="1" a="1"/>
  <c r="B234" i="1" s="1"/>
  <c r="B237" i="1" a="1"/>
  <c r="B237" i="1" s="1"/>
  <c r="B239" i="1" a="1"/>
  <c r="B239" i="1" s="1"/>
  <c r="B243" i="1" a="1"/>
  <c r="B243" i="1" s="1"/>
  <c r="B244" i="1" a="1"/>
  <c r="B244" i="1" s="1"/>
  <c r="B246" i="1" a="1"/>
  <c r="B246" i="1" s="1"/>
  <c r="B252" i="1" a="1"/>
  <c r="B252" i="1" s="1"/>
  <c r="B254" i="1" a="1"/>
  <c r="B254" i="1" s="1"/>
  <c r="B255" i="1" a="1"/>
  <c r="B255" i="1" s="1"/>
  <c r="B256" i="1" a="1"/>
  <c r="B256" i="1" s="1"/>
  <c r="B258" i="1" a="1"/>
  <c r="B258" i="1" s="1"/>
  <c r="B262" i="1" a="1"/>
  <c r="B262" i="1" s="1"/>
  <c r="B263" i="1" a="1"/>
  <c r="B263" i="1" s="1"/>
  <c r="B265" i="1" a="1"/>
  <c r="B265" i="1" s="1"/>
  <c r="B266" i="1" a="1"/>
  <c r="B266" i="1" s="1"/>
  <c r="B269" i="1" a="1"/>
  <c r="B269" i="1" s="1"/>
  <c r="B270" i="1" a="1"/>
  <c r="B270" i="1" s="1"/>
  <c r="B311" i="1" a="1"/>
  <c r="B311" i="1" s="1"/>
  <c r="B319" i="1" a="1"/>
  <c r="B319" i="1" s="1"/>
  <c r="B320" i="1" a="1"/>
  <c r="B320" i="1" s="1"/>
  <c r="B327" i="1" a="1"/>
  <c r="B327" i="1" s="1"/>
  <c r="B328" i="1" a="1"/>
  <c r="B328" i="1" s="1"/>
  <c r="B329" i="1" a="1"/>
  <c r="B329" i="1" s="1"/>
  <c r="B330" i="1" a="1"/>
  <c r="B330" i="1" s="1"/>
  <c r="B331" i="1" a="1"/>
  <c r="B331" i="1" s="1"/>
  <c r="B332" i="1" a="1"/>
  <c r="B332" i="1" s="1"/>
  <c r="B333" i="1" a="1"/>
  <c r="B333" i="1" s="1"/>
  <c r="B336" i="1" a="1"/>
  <c r="B33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Schopper, Daniel</author>
  </authors>
  <commentList>
    <comment ref="B1" authorId="0" shapeId="0" xr:uid="{02E8568C-9E15-44F3-BF49-5F00800005F0}">
      <text>
        <r>
          <rPr>
            <sz val="11"/>
            <color theme="1"/>
            <rFont val="Calibri"/>
            <family val="2"/>
            <scheme val="minor"/>
          </rPr>
          <t>This column is not intended to be edited directly.
In order to associate one or more speakers to a record, add lines refer to the table /Speakers_in_Recordings/</t>
        </r>
      </text>
    </comment>
    <comment ref="C1" authorId="0" shapeId="0" xr:uid="{36A0BB12-A8A7-41C8-B8A1-7279671EDD27}">
      <text>
        <r>
          <rPr>
            <sz val="11"/>
            <color theme="1"/>
            <rFont val="Calibri"/>
            <family val="2"/>
            <scheme val="minor"/>
          </rPr>
          <t>This column is not intended to be edited directly.
In order to associate one or more speakers to a record, please refer to the table /Speakers_in_Recordings/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Schopper, Daniel</author>
  </authors>
  <commentList>
    <comment ref="B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Schopper, Daniel:
One of M, F or D</t>
        </r>
      </text>
    </comment>
    <comment ref="D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Schopper, Daniel:
Language names in English, seperated by comma in case there's more than one</t>
        </r>
      </text>
    </comment>
    <comment ref="G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Schopper, Daniel:
These values are picked up from the table "Speakers_in_Recordings"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place" description="Connection to the 'place' query in the workbook." type="5" refreshedVersion="8" background="1" saveData="1">
    <dbPr connection="Provider=Microsoft.Mashup.OleDb.1;Data Source=$Workbook$;Location=place;Extended Properties=&quot;&quot;" command="SELECT * FROM [plac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<sst xmlns="http://schemas.openxmlformats.org/spreadsheetml/2006/main" count="13448" uniqueCount="4295">
  <si>
    <t>ID</t>
  </si>
  <si>
    <t>Forename</t>
  </si>
  <si>
    <t>Surname</t>
  </si>
  <si>
    <t>Role</t>
  </si>
  <si>
    <t>ORCID</t>
  </si>
  <si>
    <t>Affiliation</t>
  </si>
  <si>
    <t>Note</t>
  </si>
  <si>
    <t>Full Name</t>
  </si>
  <si>
    <t>SP</t>
  </si>
  <si>
    <t>Stephan</t>
  </si>
  <si>
    <t>Procházka</t>
  </si>
  <si>
    <t>Principal Investigator</t>
  </si>
  <si>
    <t>0000-0001-9421-1404</t>
  </si>
  <si>
    <t>University of Vienna</t>
  </si>
  <si>
    <t>AHu</t>
  </si>
  <si>
    <t>Aozan</t>
  </si>
  <si>
    <t>Hussien</t>
  </si>
  <si>
    <t>Transcription</t>
  </si>
  <si>
    <t>0000-0002-0963-8639</t>
  </si>
  <si>
    <t>MT</t>
  </si>
  <si>
    <t>Miriam</t>
  </si>
  <si>
    <t>Al Tawil</t>
  </si>
  <si>
    <t xml:space="preserve">ELAN </t>
  </si>
  <si>
    <t>0000-0002-7136-0455</t>
  </si>
  <si>
    <t>AN</t>
  </si>
  <si>
    <t>Aleksandra</t>
  </si>
  <si>
    <t>Naddari</t>
  </si>
  <si>
    <t>Dictionary</t>
  </si>
  <si>
    <t>0009-0004-3540-2365</t>
  </si>
  <si>
    <t>MA</t>
  </si>
  <si>
    <t>Zsófia Maura</t>
  </si>
  <si>
    <t>Abraham</t>
  </si>
  <si>
    <t>Austrian Centre for Digital Humanities and Cultural Heritage</t>
  </si>
  <si>
    <t>CM</t>
  </si>
  <si>
    <t>Charly</t>
  </si>
  <si>
    <t>Mörth</t>
  </si>
  <si>
    <t>National Cooperation Partner</t>
  </si>
  <si>
    <t>0000-0002-6466-7651</t>
  </si>
  <si>
    <t>DS</t>
  </si>
  <si>
    <t>Daniel</t>
  </si>
  <si>
    <t>Schopper</t>
  </si>
  <si>
    <t>0000-0003-2436-0361</t>
  </si>
  <si>
    <t>AHe</t>
  </si>
  <si>
    <t>Angelika</t>
  </si>
  <si>
    <t>Hechtl</t>
  </si>
  <si>
    <t>0000-0001-6104-7484</t>
  </si>
  <si>
    <t>ISM</t>
  </si>
  <si>
    <t>Ismail</t>
  </si>
  <si>
    <t>Batan</t>
  </si>
  <si>
    <t>No Need</t>
  </si>
  <si>
    <t>No Need/ unqualified</t>
  </si>
  <si>
    <t>VE</t>
  </si>
  <si>
    <t>Veronika</t>
  </si>
  <si>
    <t>Engler</t>
  </si>
  <si>
    <t>Research Data Engineer</t>
  </si>
  <si>
    <t>0000-0001-9860-7668</t>
  </si>
  <si>
    <t>MR</t>
  </si>
  <si>
    <t>Michaela</t>
  </si>
  <si>
    <t>Rausch-Supola</t>
  </si>
  <si>
    <t>0000-0001-6580-5182</t>
  </si>
  <si>
    <t>Text</t>
  </si>
  <si>
    <t>Handwritten Transcription</t>
  </si>
  <si>
    <t>Transcribed</t>
  </si>
  <si>
    <t>ELAN is ready</t>
  </si>
  <si>
    <t>Text is translated</t>
  </si>
  <si>
    <t>Audio is prepared</t>
  </si>
  <si>
    <t>TEI is generated</t>
  </si>
  <si>
    <t>Text is glossed</t>
  </si>
  <si>
    <t xml:space="preserve"> </t>
  </si>
  <si>
    <t>Internal Note</t>
  </si>
  <si>
    <t>URFA-000</t>
  </si>
  <si>
    <t>NO</t>
  </si>
  <si>
    <t>URFA-000-U1a</t>
  </si>
  <si>
    <t>YES</t>
  </si>
  <si>
    <t>URFA-001</t>
  </si>
  <si>
    <t>URFA-002</t>
  </si>
  <si>
    <t>URFA-002-1</t>
  </si>
  <si>
    <t>URFA-002-2</t>
  </si>
  <si>
    <t>URFA-002-3</t>
  </si>
  <si>
    <t>URFA-002-4</t>
  </si>
  <si>
    <t>URFA-003</t>
  </si>
  <si>
    <t>URFA-005</t>
  </si>
  <si>
    <t>URFA-006</t>
  </si>
  <si>
    <t>URFA-008</t>
  </si>
  <si>
    <t>URFA-011</t>
  </si>
  <si>
    <t>URFA-012</t>
  </si>
  <si>
    <t>URFA-013</t>
  </si>
  <si>
    <t>URFA-014</t>
  </si>
  <si>
    <t>URFA-016</t>
  </si>
  <si>
    <t>URFA-018</t>
  </si>
  <si>
    <t>URFA-019</t>
  </si>
  <si>
    <t>URFA-021</t>
  </si>
  <si>
    <t>URFA-022</t>
  </si>
  <si>
    <t>URFA-024a</t>
  </si>
  <si>
    <t>URFA-024b</t>
  </si>
  <si>
    <t>URFA-026</t>
  </si>
  <si>
    <t>URFA-027</t>
  </si>
  <si>
    <t>URFA-029</t>
  </si>
  <si>
    <t>URFA-030</t>
  </si>
  <si>
    <t>URFA-032</t>
  </si>
  <si>
    <t>URFA-033</t>
  </si>
  <si>
    <t>URFA-034</t>
  </si>
  <si>
    <t>URFA-035</t>
  </si>
  <si>
    <t>URFA-040</t>
  </si>
  <si>
    <t>URFA-041</t>
  </si>
  <si>
    <t>URFA-042</t>
  </si>
  <si>
    <t>URFA-043</t>
  </si>
  <si>
    <t>URFA-044</t>
  </si>
  <si>
    <t>URFA-045</t>
  </si>
  <si>
    <t>URFA-046</t>
  </si>
  <si>
    <t>URFA-047</t>
  </si>
  <si>
    <t>URFA-048</t>
  </si>
  <si>
    <t>URFA-051</t>
  </si>
  <si>
    <t>URFA-052</t>
  </si>
  <si>
    <t>URFA-053</t>
  </si>
  <si>
    <t>URFA-054</t>
  </si>
  <si>
    <t>URFA-055</t>
  </si>
  <si>
    <t>URFA-056</t>
  </si>
  <si>
    <t>URFA-057</t>
  </si>
  <si>
    <t>URFA-058</t>
  </si>
  <si>
    <t>URFA-059</t>
  </si>
  <si>
    <t>URFA-060</t>
  </si>
  <si>
    <t>URFA-061</t>
  </si>
  <si>
    <t>URFA-062</t>
  </si>
  <si>
    <t>URFA-063</t>
  </si>
  <si>
    <t>URFA-065</t>
  </si>
  <si>
    <t>URFA-066</t>
  </si>
  <si>
    <t>URFA-067</t>
  </si>
  <si>
    <t>URFA-068</t>
  </si>
  <si>
    <t>URFA-069a</t>
  </si>
  <si>
    <t>URFA-069b</t>
  </si>
  <si>
    <t>URFA-070</t>
  </si>
  <si>
    <t>URFA-071</t>
  </si>
  <si>
    <t>URFA-072</t>
  </si>
  <si>
    <t>URFA-073</t>
  </si>
  <si>
    <t>URFA-074</t>
  </si>
  <si>
    <t>URFA-075</t>
  </si>
  <si>
    <t>URFA-076</t>
  </si>
  <si>
    <t>URFA-077a</t>
  </si>
  <si>
    <t>URFA-077b</t>
  </si>
  <si>
    <t>URFA-077c</t>
  </si>
  <si>
    <t>URFA-077d</t>
  </si>
  <si>
    <t>URFA-077e</t>
  </si>
  <si>
    <t>URFA-078</t>
  </si>
  <si>
    <t>URFA-079</t>
  </si>
  <si>
    <t>URFA-080</t>
  </si>
  <si>
    <t>URFA-081</t>
  </si>
  <si>
    <t>URFA-082</t>
  </si>
  <si>
    <t>URFA-083</t>
  </si>
  <si>
    <t>URFA-084</t>
  </si>
  <si>
    <t>URFA-085</t>
  </si>
  <si>
    <t>URFA-086</t>
  </si>
  <si>
    <t>URFA-087</t>
  </si>
  <si>
    <t>URFA-089</t>
  </si>
  <si>
    <t>URFA-090</t>
  </si>
  <si>
    <t>URFA-092</t>
  </si>
  <si>
    <t>URFA-093</t>
  </si>
  <si>
    <t>URFA-094</t>
  </si>
  <si>
    <t>URFA-095</t>
  </si>
  <si>
    <t>URFA-097</t>
  </si>
  <si>
    <t>URFA-098</t>
  </si>
  <si>
    <t>URFA-099</t>
  </si>
  <si>
    <t>URFA-100</t>
  </si>
  <si>
    <t>URFA-101</t>
  </si>
  <si>
    <t>URFA-102</t>
  </si>
  <si>
    <t>URFA-103</t>
  </si>
  <si>
    <t>URFA-104</t>
  </si>
  <si>
    <t>URFA-105</t>
  </si>
  <si>
    <t>URFA-106</t>
  </si>
  <si>
    <t>URFA-107</t>
  </si>
  <si>
    <t>URFA-108</t>
  </si>
  <si>
    <t>URFA-110</t>
  </si>
  <si>
    <t>URFA-111</t>
  </si>
  <si>
    <t>URFA-112</t>
  </si>
  <si>
    <t>URFA-113</t>
  </si>
  <si>
    <t>URFA-114</t>
  </si>
  <si>
    <t>URFA-115</t>
  </si>
  <si>
    <t>URFA-116</t>
  </si>
  <si>
    <t>URFA-117</t>
  </si>
  <si>
    <t>URFA-118</t>
  </si>
  <si>
    <t>URFA-119</t>
  </si>
  <si>
    <t>URFA-120</t>
  </si>
  <si>
    <t>URFA-121</t>
  </si>
  <si>
    <t>URFA-122</t>
  </si>
  <si>
    <t>URFA-123</t>
  </si>
  <si>
    <t>URFA-124</t>
  </si>
  <si>
    <t>URFA-125</t>
  </si>
  <si>
    <t>URFA-127</t>
  </si>
  <si>
    <t>URFA-128</t>
  </si>
  <si>
    <t>URFA-129</t>
  </si>
  <si>
    <t>URFA-130</t>
  </si>
  <si>
    <t>URFA-131</t>
  </si>
  <si>
    <t>URFA-132</t>
  </si>
  <si>
    <t>URFA-133</t>
  </si>
  <si>
    <t>URFA-134</t>
  </si>
  <si>
    <t>URFA-135</t>
  </si>
  <si>
    <t>URFA-136</t>
  </si>
  <si>
    <t>URFA-137</t>
  </si>
  <si>
    <t>URFA-138</t>
  </si>
  <si>
    <t>URFA-139</t>
  </si>
  <si>
    <t>URFA-140</t>
  </si>
  <si>
    <t>URFA-141</t>
  </si>
  <si>
    <t>URFA-142</t>
  </si>
  <si>
    <t>URFA-143</t>
  </si>
  <si>
    <t>URFA-144</t>
  </si>
  <si>
    <t>URFA-145</t>
  </si>
  <si>
    <t>URFA-146</t>
  </si>
  <si>
    <t>URFA-147</t>
  </si>
  <si>
    <t>URFA-148</t>
  </si>
  <si>
    <t>URFA-149</t>
  </si>
  <si>
    <t>URFA-150</t>
  </si>
  <si>
    <t>URFA-151</t>
  </si>
  <si>
    <t>URFA-152</t>
  </si>
  <si>
    <t>URFA-153</t>
  </si>
  <si>
    <t>URFA-154</t>
  </si>
  <si>
    <t>URFA-155</t>
  </si>
  <si>
    <t>URFA-156</t>
  </si>
  <si>
    <t>URFA-157</t>
  </si>
  <si>
    <t>URFA-158</t>
  </si>
  <si>
    <t>URFA-159</t>
  </si>
  <si>
    <t>URFA-160</t>
  </si>
  <si>
    <t>URFA-161</t>
  </si>
  <si>
    <t>URFA-162</t>
  </si>
  <si>
    <t>URFA-163</t>
  </si>
  <si>
    <t>URFA-164</t>
  </si>
  <si>
    <t>URFA-165</t>
  </si>
  <si>
    <t>URFA-166</t>
  </si>
  <si>
    <t>URFA-167</t>
  </si>
  <si>
    <t>URFA-168</t>
  </si>
  <si>
    <t>URFA-169</t>
  </si>
  <si>
    <t>URFA-170</t>
  </si>
  <si>
    <t>URFA-171</t>
  </si>
  <si>
    <t>URFA-172</t>
  </si>
  <si>
    <t>URFA-173</t>
  </si>
  <si>
    <t>URFA-174</t>
  </si>
  <si>
    <t>URFA-175</t>
  </si>
  <si>
    <t>URFA-176</t>
  </si>
  <si>
    <t>URFA-177</t>
  </si>
  <si>
    <t>URFA-178</t>
  </si>
  <si>
    <t>URFA-179</t>
  </si>
  <si>
    <t>URFA-180</t>
  </si>
  <si>
    <t>URFA-181</t>
  </si>
  <si>
    <t>URFA-182</t>
  </si>
  <si>
    <t>URFA-183</t>
  </si>
  <si>
    <t>URFA-184</t>
  </si>
  <si>
    <t>URFA-185</t>
  </si>
  <si>
    <t>URFA-186</t>
  </si>
  <si>
    <t>URFA-187</t>
  </si>
  <si>
    <t>URFA-188</t>
  </si>
  <si>
    <t>URFA-189</t>
  </si>
  <si>
    <t>URFA-190</t>
  </si>
  <si>
    <t>URFA-191</t>
  </si>
  <si>
    <t>URFA-192</t>
  </si>
  <si>
    <t>URFA-193</t>
  </si>
  <si>
    <t>URFA-194</t>
  </si>
  <si>
    <t>URFA-195</t>
  </si>
  <si>
    <t>URFA-196</t>
  </si>
  <si>
    <t>URFA-197</t>
  </si>
  <si>
    <t>URFA-198</t>
  </si>
  <si>
    <t>URFA-199</t>
  </si>
  <si>
    <t>URFA-200</t>
  </si>
  <si>
    <t>URFA-201</t>
  </si>
  <si>
    <t>URFA-202</t>
  </si>
  <si>
    <t>URFA-203</t>
  </si>
  <si>
    <t>URFA-204</t>
  </si>
  <si>
    <t>URFA-205</t>
  </si>
  <si>
    <t>URFA-206</t>
  </si>
  <si>
    <t>URFA-207a</t>
  </si>
  <si>
    <t>URFA-207b</t>
  </si>
  <si>
    <t>URFA-287</t>
  </si>
  <si>
    <t>URFA-288</t>
  </si>
  <si>
    <t>URFA-289</t>
  </si>
  <si>
    <t>URFA-294</t>
  </si>
  <si>
    <t>URFA-298</t>
  </si>
  <si>
    <t>URFA-302</t>
  </si>
  <si>
    <t>URFA-303</t>
  </si>
  <si>
    <t>URFA-304</t>
  </si>
  <si>
    <t>URFA-305</t>
  </si>
  <si>
    <t>URFA-306</t>
  </si>
  <si>
    <t>URFA-307</t>
  </si>
  <si>
    <t>URFA-308</t>
  </si>
  <si>
    <t>URFA-310</t>
  </si>
  <si>
    <t>URFA-312</t>
  </si>
  <si>
    <t>URFA-314</t>
  </si>
  <si>
    <t>URFA-315</t>
  </si>
  <si>
    <t>URFA-316</t>
  </si>
  <si>
    <t>URFA-317</t>
  </si>
  <si>
    <t>URFA-319</t>
  </si>
  <si>
    <t>URFA-320</t>
  </si>
  <si>
    <t>URFA-321</t>
  </si>
  <si>
    <t>URFA-322</t>
  </si>
  <si>
    <t>URFA-323</t>
  </si>
  <si>
    <t>URFA-324</t>
  </si>
  <si>
    <t>URFA-325</t>
  </si>
  <si>
    <t>URFA-326</t>
  </si>
  <si>
    <t>URFA-327</t>
  </si>
  <si>
    <t>URFA-329</t>
  </si>
  <si>
    <t>URFA-330</t>
  </si>
  <si>
    <t>URFA-331</t>
  </si>
  <si>
    <t>URFA-332</t>
  </si>
  <si>
    <t>URFA-333</t>
  </si>
  <si>
    <t>URFA-334</t>
  </si>
  <si>
    <t>URFA-335</t>
  </si>
  <si>
    <t>URFA-336</t>
  </si>
  <si>
    <t>URFA-337</t>
  </si>
  <si>
    <t>URFA-338</t>
  </si>
  <si>
    <t>URFA-339</t>
  </si>
  <si>
    <t>URFA-340</t>
  </si>
  <si>
    <t>URFA-342</t>
  </si>
  <si>
    <t>URFA-343</t>
  </si>
  <si>
    <t>URFA-344</t>
  </si>
  <si>
    <t>URFA-345</t>
  </si>
  <si>
    <t>URFA-346</t>
  </si>
  <si>
    <t>URFA-347</t>
  </si>
  <si>
    <t>URFA-348</t>
  </si>
  <si>
    <t>URFA-349</t>
  </si>
  <si>
    <t>URFA-350</t>
  </si>
  <si>
    <t>URFA-351</t>
  </si>
  <si>
    <t>URFA-352</t>
  </si>
  <si>
    <t>URFA-353</t>
  </si>
  <si>
    <t>URFA-354</t>
  </si>
  <si>
    <t>URFA-355</t>
  </si>
  <si>
    <t>URFA-356</t>
  </si>
  <si>
    <t>URFA-357</t>
  </si>
  <si>
    <t>URFA-358</t>
  </si>
  <si>
    <t>URFA-359</t>
  </si>
  <si>
    <t>URFA-360</t>
  </si>
  <si>
    <t>URFA-361</t>
  </si>
  <si>
    <t>URFA-362</t>
  </si>
  <si>
    <t>URFA-363</t>
  </si>
  <si>
    <t>URFA-364</t>
  </si>
  <si>
    <t>URFA-365</t>
  </si>
  <si>
    <t>URFA-366</t>
  </si>
  <si>
    <t>URFA-367</t>
  </si>
  <si>
    <t>URFA-368</t>
  </si>
  <si>
    <t>URFA-369</t>
  </si>
  <si>
    <t>URFA-370</t>
  </si>
  <si>
    <t>URFA-371</t>
  </si>
  <si>
    <t>URFA-372</t>
  </si>
  <si>
    <t>URFA-373</t>
  </si>
  <si>
    <t>URFA-374</t>
  </si>
  <si>
    <t>URFA-375</t>
  </si>
  <si>
    <t>URFA-376</t>
  </si>
  <si>
    <t>URFA-377</t>
  </si>
  <si>
    <t>URFA-378</t>
  </si>
  <si>
    <t>URFA-379a</t>
  </si>
  <si>
    <t>URFA-379b</t>
  </si>
  <si>
    <t>URFA-379c</t>
  </si>
  <si>
    <t>URFA-379d</t>
  </si>
  <si>
    <t>URFA-379e</t>
  </si>
  <si>
    <t>URFA-380</t>
  </si>
  <si>
    <t>URFA-381</t>
  </si>
  <si>
    <t>URFA-382</t>
  </si>
  <si>
    <t>URFA-383</t>
  </si>
  <si>
    <t>URFA-384</t>
  </si>
  <si>
    <t>URFA-385</t>
  </si>
  <si>
    <t>URFA-386</t>
  </si>
  <si>
    <t>URFA-387</t>
  </si>
  <si>
    <t>URFA-388</t>
  </si>
  <si>
    <t>URFA-389</t>
  </si>
  <si>
    <t>URFA-390</t>
  </si>
  <si>
    <t>URFA-391</t>
  </si>
  <si>
    <t>URFA-392</t>
  </si>
  <si>
    <t>URFA-393</t>
  </si>
  <si>
    <t>URFA-394</t>
  </si>
  <si>
    <t>URFA-395</t>
  </si>
  <si>
    <t>URFA-396</t>
  </si>
  <si>
    <t>URFA-397</t>
  </si>
  <si>
    <t>URFA-398</t>
  </si>
  <si>
    <t>URFA-399</t>
  </si>
  <si>
    <t>URFA-400</t>
  </si>
  <si>
    <t>URFA-401</t>
  </si>
  <si>
    <t>URFA-402</t>
  </si>
  <si>
    <t>URFA-403</t>
  </si>
  <si>
    <t>URFA-404</t>
  </si>
  <si>
    <t>URFA-405</t>
  </si>
  <si>
    <t>URFA-406</t>
  </si>
  <si>
    <t>URFA-407</t>
  </si>
  <si>
    <t>URFA-408</t>
  </si>
  <si>
    <t>URFA-409</t>
  </si>
  <si>
    <t>URFA-410</t>
  </si>
  <si>
    <t>URFA-411</t>
  </si>
  <si>
    <t>URFA-412</t>
  </si>
  <si>
    <t>URFA-413</t>
  </si>
  <si>
    <t>URFA-414</t>
  </si>
  <si>
    <t>URFA-415</t>
  </si>
  <si>
    <t>URFA-416</t>
  </si>
  <si>
    <t>URFA-417</t>
  </si>
  <si>
    <t>URFA-418</t>
  </si>
  <si>
    <t>URFA-419</t>
  </si>
  <si>
    <t>URFA-420</t>
  </si>
  <si>
    <t>URFA-421a</t>
  </si>
  <si>
    <t>URFA-421b</t>
  </si>
  <si>
    <t>URFA-422</t>
  </si>
  <si>
    <t>URFA-423</t>
  </si>
  <si>
    <t>URFA-424</t>
  </si>
  <si>
    <t>URFA-425</t>
  </si>
  <si>
    <t>URFA-426</t>
  </si>
  <si>
    <t>URFA-427</t>
  </si>
  <si>
    <t>URFA-428</t>
  </si>
  <si>
    <t>URFA-429</t>
  </si>
  <si>
    <t>URFA-430</t>
  </si>
  <si>
    <t>URFA-431</t>
  </si>
  <si>
    <t>URFA-432</t>
  </si>
  <si>
    <t>URFA-433</t>
  </si>
  <si>
    <t>URFA-434</t>
  </si>
  <si>
    <t>URFA-435</t>
  </si>
  <si>
    <t>URFA-436</t>
  </si>
  <si>
    <t>URFA-437</t>
  </si>
  <si>
    <t>URFA-438a</t>
  </si>
  <si>
    <t>URFA-438b</t>
  </si>
  <si>
    <t>URFA-439</t>
  </si>
  <si>
    <t>URFA-440</t>
  </si>
  <si>
    <t>URFA-441</t>
  </si>
  <si>
    <t>URFA-442</t>
  </si>
  <si>
    <t>URFA-443</t>
  </si>
  <si>
    <t>URFA-444</t>
  </si>
  <si>
    <t>URFA-445</t>
  </si>
  <si>
    <t>URFA-446</t>
  </si>
  <si>
    <t>URFA-447</t>
  </si>
  <si>
    <t>URFA-448</t>
  </si>
  <si>
    <t>URFA-449</t>
  </si>
  <si>
    <t>URFA-450</t>
  </si>
  <si>
    <t>URFA-451</t>
  </si>
  <si>
    <t>URFA-452</t>
  </si>
  <si>
    <t>URFA-453</t>
  </si>
  <si>
    <t>URFA-454</t>
  </si>
  <si>
    <t>URFA-455</t>
  </si>
  <si>
    <t>URFA-456</t>
  </si>
  <si>
    <t>URFA-457</t>
  </si>
  <si>
    <t>URFA-458</t>
  </si>
  <si>
    <t>URFA-459</t>
  </si>
  <si>
    <t>URFA-460</t>
  </si>
  <si>
    <t>URFA-461</t>
  </si>
  <si>
    <t>URFA-462</t>
  </si>
  <si>
    <t>URFA-463</t>
  </si>
  <si>
    <t>URFA-464</t>
  </si>
  <si>
    <t>URFA-465</t>
  </si>
  <si>
    <t>URFA-466</t>
  </si>
  <si>
    <t>URFA-467</t>
  </si>
  <si>
    <t>URFA-468</t>
  </si>
  <si>
    <t>URFA-469</t>
  </si>
  <si>
    <t>URFA-470</t>
  </si>
  <si>
    <t>URFA-471</t>
  </si>
  <si>
    <t>URFA-472</t>
  </si>
  <si>
    <t>URFA-473</t>
  </si>
  <si>
    <t>URFA-474</t>
  </si>
  <si>
    <t>URFA-475</t>
  </si>
  <si>
    <t>URFA-476</t>
  </si>
  <si>
    <t>URFA-477</t>
  </si>
  <si>
    <t>URFA-478</t>
  </si>
  <si>
    <t>URFA-479</t>
  </si>
  <si>
    <t>URFA-480</t>
  </si>
  <si>
    <t>URFA-481</t>
  </si>
  <si>
    <t>URFA-482</t>
  </si>
  <si>
    <t>URFA-483</t>
  </si>
  <si>
    <t>URFA-484</t>
  </si>
  <si>
    <t>URFA-485</t>
  </si>
  <si>
    <t>URFA-486</t>
  </si>
  <si>
    <t>URFA-487</t>
  </si>
  <si>
    <t>URFA-488</t>
  </si>
  <si>
    <t>URFA-489</t>
  </si>
  <si>
    <t>URFA-490</t>
  </si>
  <si>
    <t>URFA-491</t>
  </si>
  <si>
    <t>URFA-492</t>
  </si>
  <si>
    <t>URFA-493</t>
  </si>
  <si>
    <t>URFA-494</t>
  </si>
  <si>
    <t>URFA-495</t>
  </si>
  <si>
    <t>URFA-496</t>
  </si>
  <si>
    <t>URFA-497</t>
  </si>
  <si>
    <t>URFA-498</t>
  </si>
  <si>
    <t>URFA-499</t>
  </si>
  <si>
    <t>URFA-500</t>
  </si>
  <si>
    <t>URFA-501</t>
  </si>
  <si>
    <t>URFA-502</t>
  </si>
  <si>
    <t>URFA-503</t>
  </si>
  <si>
    <t>URFA-504</t>
  </si>
  <si>
    <t>URFA-505</t>
  </si>
  <si>
    <t>URFA-506</t>
  </si>
  <si>
    <t>URFA-507</t>
  </si>
  <si>
    <t>URFA-508</t>
  </si>
  <si>
    <t>URFA-509</t>
  </si>
  <si>
    <t>URFA-510</t>
  </si>
  <si>
    <t>URFA-511</t>
  </si>
  <si>
    <t>URFA-512</t>
  </si>
  <si>
    <t>URFA-513</t>
  </si>
  <si>
    <t>URFA-514</t>
  </si>
  <si>
    <t>URFA-515</t>
  </si>
  <si>
    <t>URFA-516</t>
  </si>
  <si>
    <t>URFA-517</t>
  </si>
  <si>
    <t>URFA-518</t>
  </si>
  <si>
    <t>URFA-519</t>
  </si>
  <si>
    <t>URFA-520</t>
  </si>
  <si>
    <t>URFA-521</t>
  </si>
  <si>
    <t>URFA-522</t>
  </si>
  <si>
    <t>URFA-523</t>
  </si>
  <si>
    <t>URFA-524</t>
  </si>
  <si>
    <t>URFA-525</t>
  </si>
  <si>
    <t>URFA-526</t>
  </si>
  <si>
    <t>URFA-527</t>
  </si>
  <si>
    <t>URFA-528</t>
  </si>
  <si>
    <t>URFA-529</t>
  </si>
  <si>
    <t>URFA-530</t>
  </si>
  <si>
    <t>URFA-532</t>
  </si>
  <si>
    <t>URFA-533</t>
  </si>
  <si>
    <t>URFA-534</t>
  </si>
  <si>
    <t>URFA-536</t>
  </si>
  <si>
    <t>URFA-537</t>
  </si>
  <si>
    <t>URFA-538</t>
  </si>
  <si>
    <t>URFA-539</t>
  </si>
  <si>
    <t>URFA-540</t>
  </si>
  <si>
    <t>URFA-541</t>
  </si>
  <si>
    <t>URFA-542</t>
  </si>
  <si>
    <t>URFA-543</t>
  </si>
  <si>
    <t>URFA-544</t>
  </si>
  <si>
    <t>URFA-545</t>
  </si>
  <si>
    <t>URFA-546</t>
  </si>
  <si>
    <t>URFA-547</t>
  </si>
  <si>
    <t>URFA-548</t>
  </si>
  <si>
    <t>URFA-549</t>
  </si>
  <si>
    <t>URFA-550</t>
  </si>
  <si>
    <t>URFA-551</t>
  </si>
  <si>
    <t>URFA-552</t>
  </si>
  <si>
    <t>URFA-553</t>
  </si>
  <si>
    <t>URFA-554</t>
  </si>
  <si>
    <t>URFA-555</t>
  </si>
  <si>
    <t>URFA-556</t>
  </si>
  <si>
    <t>URFA-557</t>
  </si>
  <si>
    <t>URFA-558</t>
  </si>
  <si>
    <t>URFA-559</t>
  </si>
  <si>
    <t>URFA-560</t>
  </si>
  <si>
    <t>URFA-561</t>
  </si>
  <si>
    <t>URFA-562</t>
  </si>
  <si>
    <t>URFA-563</t>
  </si>
  <si>
    <t>URFA-564</t>
  </si>
  <si>
    <t>URFA-565</t>
  </si>
  <si>
    <t>URFA-566</t>
  </si>
  <si>
    <t>URFA-567</t>
  </si>
  <si>
    <t>URFA-568</t>
  </si>
  <si>
    <t>URFA-569</t>
  </si>
  <si>
    <t>URFA-570</t>
  </si>
  <si>
    <t>URFA-571</t>
  </si>
  <si>
    <t>URFA-572</t>
  </si>
  <si>
    <t>URFA-573</t>
  </si>
  <si>
    <t>URFA-574</t>
  </si>
  <si>
    <t>URFA-575</t>
  </si>
  <si>
    <t>URFA-576</t>
  </si>
  <si>
    <t>URFA-577</t>
  </si>
  <si>
    <t>URFA-578</t>
  </si>
  <si>
    <t>URFA-579</t>
  </si>
  <si>
    <t>URFA-580</t>
  </si>
  <si>
    <t>URFA-581</t>
  </si>
  <si>
    <t>URFA-582</t>
  </si>
  <si>
    <t>URFA-583</t>
  </si>
  <si>
    <t>URFA-584</t>
  </si>
  <si>
    <t>URFA-585</t>
  </si>
  <si>
    <t>URFA-586</t>
  </si>
  <si>
    <t>URFA-587</t>
  </si>
  <si>
    <t>URFA-588</t>
  </si>
  <si>
    <t>URFA-589</t>
  </si>
  <si>
    <t>URFA-590</t>
  </si>
  <si>
    <t>URFA-591</t>
  </si>
  <si>
    <t>URFA-592</t>
  </si>
  <si>
    <t>URFA-593</t>
  </si>
  <si>
    <t>URFA-594</t>
  </si>
  <si>
    <t>URFA-595</t>
  </si>
  <si>
    <t>URFA-596</t>
  </si>
  <si>
    <t>URFA-597</t>
  </si>
  <si>
    <t>URFA-598</t>
  </si>
  <si>
    <t>URFA-599</t>
  </si>
  <si>
    <t>URFA-600</t>
  </si>
  <si>
    <t>URFA-601</t>
  </si>
  <si>
    <t>URFA-602</t>
  </si>
  <si>
    <t>URFA-603</t>
  </si>
  <si>
    <t>URFA-604</t>
  </si>
  <si>
    <t>URFA-605</t>
  </si>
  <si>
    <t>URFA-606</t>
  </si>
  <si>
    <t>URFA-607</t>
  </si>
  <si>
    <t>URFA-608</t>
  </si>
  <si>
    <t>URFA-609</t>
  </si>
  <si>
    <t>URFA-610</t>
  </si>
  <si>
    <t>URFA-611</t>
  </si>
  <si>
    <t>URFA-612</t>
  </si>
  <si>
    <t>URFA-613</t>
  </si>
  <si>
    <t>URFA-614</t>
  </si>
  <si>
    <t>Speaker</t>
  </si>
  <si>
    <t>Subject</t>
  </si>
  <si>
    <t>Date</t>
  </si>
  <si>
    <t>Length</t>
  </si>
  <si>
    <t>Rec. person</t>
  </si>
  <si>
    <t>Processed</t>
  </si>
  <si>
    <t>transcribed by</t>
  </si>
  <si>
    <t>transcription checked by</t>
  </si>
  <si>
    <t>transcription checked by2</t>
  </si>
  <si>
    <t>translated by</t>
  </si>
  <si>
    <t>translation checked by</t>
  </si>
  <si>
    <t>glossed by</t>
  </si>
  <si>
    <t>glossing checked by</t>
  </si>
  <si>
    <t>Place</t>
  </si>
  <si>
    <t>Original Recording file</t>
  </si>
  <si>
    <t>Transcribed Audio-file</t>
  </si>
  <si>
    <t>Internal Procedural Notes</t>
  </si>
  <si>
    <t>Syria-000</t>
  </si>
  <si>
    <t>00:34</t>
  </si>
  <si>
    <t>Aozan Hussien</t>
  </si>
  <si>
    <t>Yes</t>
  </si>
  <si>
    <t xml:space="preserve">No Need/ unqualified </t>
  </si>
  <si>
    <t>Ras al-ʕAyn</t>
  </si>
  <si>
    <t>Syria-000_Short-Syria-2022.wav</t>
  </si>
  <si>
    <t>Syria-001</t>
  </si>
  <si>
    <t>10:41</t>
  </si>
  <si>
    <t>Syria-001_Xathir-Syria-2022.wav</t>
  </si>
  <si>
    <t>Syria-002</t>
  </si>
  <si>
    <t>07:26</t>
  </si>
  <si>
    <t>Syria-002_Xabur_River-Syria-2022.wav</t>
  </si>
  <si>
    <t>Syria-003</t>
  </si>
  <si>
    <t>05:24</t>
  </si>
  <si>
    <t>Syria-003_Al-Higit-Ras_Al-Ain-2022.wav</t>
  </si>
  <si>
    <t>Syria-004</t>
  </si>
  <si>
    <t>10:06</t>
  </si>
  <si>
    <t>Syria-004_Former_Times-Ras_Al-Ain-2022.wav</t>
  </si>
  <si>
    <t>Syria-005</t>
  </si>
  <si>
    <t>02:00</t>
  </si>
  <si>
    <t>Syria-005_Shawi-Ras_Al-Ain-2022.wav</t>
  </si>
  <si>
    <t>Syria-006</t>
  </si>
  <si>
    <t>01:19</t>
  </si>
  <si>
    <t>Syria-006_Dorbis-Ras_Al-Ain-2022.wav</t>
  </si>
  <si>
    <t>Syria-007</t>
  </si>
  <si>
    <t>03:00</t>
  </si>
  <si>
    <t>Syria-007_Zagta-Ras_Al-Ain-2022.wav</t>
  </si>
  <si>
    <t>Syria-008</t>
  </si>
  <si>
    <t>02:16</t>
  </si>
  <si>
    <t>Syria-008_Game_Drah-Ras_Al-Ain-2022.wav</t>
  </si>
  <si>
    <t>Syria-009</t>
  </si>
  <si>
    <t>04:00</t>
  </si>
  <si>
    <t>Syria-009_Game_Hora-Ras_Al-Ain-2022.wav</t>
  </si>
  <si>
    <t>Syria-010</t>
  </si>
  <si>
    <t>08:00</t>
  </si>
  <si>
    <t>Syria-010_Eid-Ras_Al-Ain-2022.wav</t>
  </si>
  <si>
    <t>Syria-011</t>
  </si>
  <si>
    <t>12:00</t>
  </si>
  <si>
    <t>Syria-011_Eid_Ramadan-Ras_Al-Ain-2022.wav</t>
  </si>
  <si>
    <t>Syria-012</t>
  </si>
  <si>
    <t>03:38</t>
  </si>
  <si>
    <t>Syria-012_Big_Eid-Ras_Al-Ain-2022.wav</t>
  </si>
  <si>
    <t>Syria-013</t>
  </si>
  <si>
    <t>01:14</t>
  </si>
  <si>
    <t>Tall Abyaḍ</t>
  </si>
  <si>
    <t>Syria-013_Consent-Ras_Al-Ain-2022.wav</t>
  </si>
  <si>
    <t>Syria-014</t>
  </si>
  <si>
    <t>06:40</t>
  </si>
  <si>
    <t>Syria-014_Personal_Life-Ras_Al-Ain-2022.wav</t>
  </si>
  <si>
    <t>Syria-015</t>
  </si>
  <si>
    <t>07:11</t>
  </si>
  <si>
    <t>Syria-015_Chasing_Women-Ras_Al-Ain-2022.wav</t>
  </si>
  <si>
    <t>Syria-016</t>
  </si>
  <si>
    <t>07:48</t>
  </si>
  <si>
    <t>Syria-016_Path_to_Austria-Ras_Al-Ain-2022.wav</t>
  </si>
  <si>
    <t>Syria-017</t>
  </si>
  <si>
    <t>08:41</t>
  </si>
  <si>
    <t>Syria-017_School_Days-Ras_Al-Ain-2022.wav</t>
  </si>
  <si>
    <t>Syria-018</t>
  </si>
  <si>
    <t>01:07</t>
  </si>
  <si>
    <t>Syria-018_Hamis-Ras_Al-Ain-2022.wav</t>
  </si>
  <si>
    <t>Syria-019</t>
  </si>
  <si>
    <t>05:10</t>
  </si>
  <si>
    <t>Syria-019_Rshedi-Ras_Al-Ain-2022.wav</t>
  </si>
  <si>
    <t>Syria-020</t>
  </si>
  <si>
    <t>Syria-020_Arab_Soup-Ras_Al-Ain-2022.wav</t>
  </si>
  <si>
    <t>Syria-021</t>
  </si>
  <si>
    <t>Syria-021_Bamiya-Ras_Al-Ain-2022.wav</t>
  </si>
  <si>
    <t>Syria-022</t>
  </si>
  <si>
    <t>10:00</t>
  </si>
  <si>
    <t>Syria-022_Wool-Ras_Al-Ain-2022.wav</t>
  </si>
  <si>
    <t>Syria-023</t>
  </si>
  <si>
    <t>13:00</t>
  </si>
  <si>
    <t>Syria-023_Summer_Tent-Ras_Al-Ain-2022.wav</t>
  </si>
  <si>
    <t>Syria-024</t>
  </si>
  <si>
    <t>05:03</t>
  </si>
  <si>
    <t>Syria-024_Harvest_Season-Ras_Al-Ain-2022.wav</t>
  </si>
  <si>
    <t>Syria-025</t>
  </si>
  <si>
    <t>03:50</t>
  </si>
  <si>
    <t>Syria-025_Dishes-Ras_Al-Ain-2022.wav</t>
  </si>
  <si>
    <t>Syria-026</t>
  </si>
  <si>
    <t>00:46</t>
  </si>
  <si>
    <t>Deir ez-Zor</t>
  </si>
  <si>
    <t>Syria-026_Cotton_Crop-Syria-2023.wav</t>
  </si>
  <si>
    <t>Syria-027</t>
  </si>
  <si>
    <t>00:16</t>
  </si>
  <si>
    <t>Syria-027_About_Stories-Syria-2023.wav</t>
  </si>
  <si>
    <t>Syria-028</t>
  </si>
  <si>
    <t>00:38</t>
  </si>
  <si>
    <t>Syria-028_Fight-Syria-2023.wav</t>
  </si>
  <si>
    <t>Syria-029</t>
  </si>
  <si>
    <t>00:44</t>
  </si>
  <si>
    <t>Syria-029_Military-Syria-2023.wav</t>
  </si>
  <si>
    <t>Syria-030</t>
  </si>
  <si>
    <t>Syria-030_Heading_to_Germany-Syria-2023.wav</t>
  </si>
  <si>
    <t>Syria-031</t>
  </si>
  <si>
    <t>00:28</t>
  </si>
  <si>
    <t>Syria-031_In_Ras_Al-Ain-Syria-2023.wav</t>
  </si>
  <si>
    <t>Syria-032</t>
  </si>
  <si>
    <t>01:02</t>
  </si>
  <si>
    <t>Syria-032_Crossing_the_Borders-Syria-2023.wav</t>
  </si>
  <si>
    <t>Syria-033</t>
  </si>
  <si>
    <t>01:17</t>
  </si>
  <si>
    <t>Syria-033_Reaching_Urfa-Syria-2023.wav</t>
  </si>
  <si>
    <t>Syria-034</t>
  </si>
  <si>
    <t>01:28</t>
  </si>
  <si>
    <t>Syria-034_To_Istanbul-Syria-2023.wav</t>
  </si>
  <si>
    <t>Syria-035</t>
  </si>
  <si>
    <t>00:30</t>
  </si>
  <si>
    <t>Syria-035_Voice_Message-Syria-2023.wav</t>
  </si>
  <si>
    <t>Syria-036</t>
  </si>
  <si>
    <t>Syria-036_A_Laughing_Girl-Syria-2023.wav</t>
  </si>
  <si>
    <t>Syria-037</t>
  </si>
  <si>
    <t>00:21</t>
  </si>
  <si>
    <t>Syria-037_Voice_Message-Syria-2023.wav</t>
  </si>
  <si>
    <t>Syria-038</t>
  </si>
  <si>
    <t>00:19</t>
  </si>
  <si>
    <t>Syria-038_Consent-Syria-2023.wav</t>
  </si>
  <si>
    <t>Syria-039</t>
  </si>
  <si>
    <t>00:14</t>
  </si>
  <si>
    <t>Syria-039_Consent-Syria-2023.wav</t>
  </si>
  <si>
    <t>Syria-040</t>
  </si>
  <si>
    <t>14:07</t>
  </si>
  <si>
    <t>Syria-040_Stories-Syria-2023.wav</t>
  </si>
  <si>
    <t>Syria-041</t>
  </si>
  <si>
    <t>Syria-041_Voice_Message-Syria-2023.wav</t>
  </si>
  <si>
    <t>Syria-042</t>
  </si>
  <si>
    <t>16:11</t>
  </si>
  <si>
    <t>Syria-042_Stealing_Watermelon-Syria-2023.wav</t>
  </si>
  <si>
    <t>Syria-043</t>
  </si>
  <si>
    <t>11:09</t>
  </si>
  <si>
    <t>Syria-043_Studying-Syria-2023.wav</t>
  </si>
  <si>
    <t>Syria-044</t>
  </si>
  <si>
    <t>28:12</t>
  </si>
  <si>
    <t>Syria-044_Cheating-Syria-2023.wav</t>
  </si>
  <si>
    <t>Syria-045</t>
  </si>
  <si>
    <t>05:53</t>
  </si>
  <si>
    <t>Syria-045_Bike-Syria-2023.wav</t>
  </si>
  <si>
    <t>Syria-046</t>
  </si>
  <si>
    <t>00:12</t>
  </si>
  <si>
    <t>Syria-046_Voice_Message-Syria-2023.wav</t>
  </si>
  <si>
    <t>Syria-047</t>
  </si>
  <si>
    <t>20:46</t>
  </si>
  <si>
    <t>Syria-047_Going_to_SaudiArabia-Syria-2023.wav</t>
  </si>
  <si>
    <t>Syria-048</t>
  </si>
  <si>
    <t>23:30</t>
  </si>
  <si>
    <t>Syria-048_Trying_Business-Syria-2023.wav</t>
  </si>
  <si>
    <t>Syria-049</t>
  </si>
  <si>
    <t>52:08</t>
  </si>
  <si>
    <t>Syria-049_To_Europe-Syria-2023.wav</t>
  </si>
  <si>
    <t>Syria-050</t>
  </si>
  <si>
    <t>00:18</t>
  </si>
  <si>
    <t>Syria-050_Voice_Message-Syria-2023.wav</t>
  </si>
  <si>
    <t>Syria-051</t>
  </si>
  <si>
    <t>00:36</t>
  </si>
  <si>
    <t>Syria-051_Voice_Message-Syria-2023.wav</t>
  </si>
  <si>
    <t>Syria-052</t>
  </si>
  <si>
    <t>04:38</t>
  </si>
  <si>
    <t>Syria-052_Unlucky_Day-Syria-2023.wav</t>
  </si>
  <si>
    <t>Syria-053</t>
  </si>
  <si>
    <t>08:07</t>
  </si>
  <si>
    <t>Syria-053_Marriage-Syria-2023.wav</t>
  </si>
  <si>
    <t>Syria-054</t>
  </si>
  <si>
    <t>13:25</t>
  </si>
  <si>
    <t>Syria-054_Doing_Business-Syria-2023.wav</t>
  </si>
  <si>
    <t>Syria-055</t>
  </si>
  <si>
    <t>00:20</t>
  </si>
  <si>
    <t>Syria-055_Voice_Message-Syria-2023.wav</t>
  </si>
  <si>
    <t>Syria-056</t>
  </si>
  <si>
    <t>00:24</t>
  </si>
  <si>
    <t>Syria-056_Voice_Message-Syria-2023.wav</t>
  </si>
  <si>
    <t>Syria-057</t>
  </si>
  <si>
    <t>19:58</t>
  </si>
  <si>
    <t>Syria-057_Harvesting-Syria-2023.wav</t>
  </si>
  <si>
    <t>Syria-058</t>
  </si>
  <si>
    <t>00:25</t>
  </si>
  <si>
    <t>Syria-058_Voice_Message-Syria-2023.wav</t>
  </si>
  <si>
    <t>Syria-059</t>
  </si>
  <si>
    <t>10:05</t>
  </si>
  <si>
    <t>Syria-059_Marriage_Prank-Syria-2023.wav</t>
  </si>
  <si>
    <t>Syria-060</t>
  </si>
  <si>
    <t>00:05</t>
  </si>
  <si>
    <t>Syria-060_The_Sheikh-Syria-2023.wav</t>
  </si>
  <si>
    <t>Syria-061</t>
  </si>
  <si>
    <t>00:10</t>
  </si>
  <si>
    <t>Syria-061_Short-Syria-2023.wav</t>
  </si>
  <si>
    <t>Syria-062</t>
  </si>
  <si>
    <t>00:11</t>
  </si>
  <si>
    <t>Syria-062_Short-Syria-2023.wav</t>
  </si>
  <si>
    <t>Syria-063</t>
  </si>
  <si>
    <t>Syria-063_Short-Syria-2023.wav</t>
  </si>
  <si>
    <t>Syria-064</t>
  </si>
  <si>
    <t>00:13</t>
  </si>
  <si>
    <t>Syria-064_Question-Syria-2023.wav</t>
  </si>
  <si>
    <t>Syria-065</t>
  </si>
  <si>
    <t>00:07</t>
  </si>
  <si>
    <t>Syria-065_Eating_Fruits-Syria-2023.wav</t>
  </si>
  <si>
    <t>Syria-066</t>
  </si>
  <si>
    <t>00:09</t>
  </si>
  <si>
    <t>Syria-066_Short-Syria-2023.wav</t>
  </si>
  <si>
    <t>Syria-067</t>
  </si>
  <si>
    <t>Syria-067_The_Bride-Syria-2023.wav</t>
  </si>
  <si>
    <t>Syria-068</t>
  </si>
  <si>
    <t>00:26</t>
  </si>
  <si>
    <t>Syria-068_The_Sheikhs-Syria-2023.wav</t>
  </si>
  <si>
    <t>Syria-069</t>
  </si>
  <si>
    <t>Syria-069_Soud-Syria-2023.wav</t>
  </si>
  <si>
    <t>Syria-070</t>
  </si>
  <si>
    <t>Syria-070_Short-Syria-2023.wav</t>
  </si>
  <si>
    <t>Syria-071</t>
  </si>
  <si>
    <t>00:04</t>
  </si>
  <si>
    <t>Syria-071_Short-Syria-2023.wav</t>
  </si>
  <si>
    <t>Syria-072</t>
  </si>
  <si>
    <t>Syria-072_Short-Syria-2023.wav</t>
  </si>
  <si>
    <t>Syria-073</t>
  </si>
  <si>
    <t>00:48</t>
  </si>
  <si>
    <t>Syria-073_Short-Syria-2023.wav</t>
  </si>
  <si>
    <t>Syria-074</t>
  </si>
  <si>
    <t>14:06</t>
  </si>
  <si>
    <t>Syria-074_Getting_Caught-Syria-2023.wav</t>
  </si>
  <si>
    <t>Syria-075</t>
  </si>
  <si>
    <t>04:58</t>
  </si>
  <si>
    <t>Syria-075_Old_Man-Syria-2023.wav</t>
  </si>
  <si>
    <t>Syria-076</t>
  </si>
  <si>
    <t>00:08</t>
  </si>
  <si>
    <t>Syria-076_Voice_Message-Syria-2023.wav</t>
  </si>
  <si>
    <t>Syria-077</t>
  </si>
  <si>
    <t>30:00</t>
  </si>
  <si>
    <t>Syria-077_Abu_Al-Adas-Syria-2023.wav</t>
  </si>
  <si>
    <t>Syria-078</t>
  </si>
  <si>
    <t>Syria-078_Voice_Message-Syria-2023.wav</t>
  </si>
  <si>
    <t>Syria-079</t>
  </si>
  <si>
    <t>12:20</t>
  </si>
  <si>
    <t>Syria-079_Stories-Syria-2023.wav</t>
  </si>
  <si>
    <t>Syria-080</t>
  </si>
  <si>
    <t>10:19</t>
  </si>
  <si>
    <t>Syria-080_Stories-Syria-2023.wav</t>
  </si>
  <si>
    <t>Syria-081</t>
  </si>
  <si>
    <t>05:42</t>
  </si>
  <si>
    <t>Syria-081_Car_at_the_Wedding-Syria-2023.wav</t>
  </si>
  <si>
    <t>Syria-082</t>
  </si>
  <si>
    <t>10:42</t>
  </si>
  <si>
    <t>Syria-082_College_Days-Syria-2023.wav</t>
  </si>
  <si>
    <t>Syria-083</t>
  </si>
  <si>
    <t>25:19</t>
  </si>
  <si>
    <t>Syria-083_Looking_for_a_Wife-Syria-2023.wav</t>
  </si>
  <si>
    <t>Syria-084</t>
  </si>
  <si>
    <t>45:31</t>
  </si>
  <si>
    <t>Syria-084_Stories-Syria-2023.wav</t>
  </si>
  <si>
    <t>Syria-085</t>
  </si>
  <si>
    <t>18:35</t>
  </si>
  <si>
    <t>Syria-085_Different_Stories-Syria-2023.wav</t>
  </si>
  <si>
    <t>Syria-086</t>
  </si>
  <si>
    <t>32:23</t>
  </si>
  <si>
    <t>Syria-086_Funny_Stories-Syria-2023.wav</t>
  </si>
  <si>
    <t>Syria-087</t>
  </si>
  <si>
    <t>Syria-087_Consent-Syria-2023.wav</t>
  </si>
  <si>
    <t>21:56</t>
  </si>
  <si>
    <t>Stephan Procházka</t>
  </si>
  <si>
    <t>Harran</t>
  </si>
  <si>
    <t>Urfa-000_Cigkofte-Harran-2001.wav</t>
  </si>
  <si>
    <t>06:50</t>
  </si>
  <si>
    <t>"Z:\SHAWI\Recordings\Urfa-All Recordings\Urfa000\Urfa-000_Cigkofte-Harran-2001original.wav"</t>
  </si>
  <si>
    <t>Urfa-000_Nimrud-Harran-2001.wav</t>
  </si>
  <si>
    <t>45:17</t>
  </si>
  <si>
    <t>Urfa-001_Words-Harran-2001.wav</t>
  </si>
  <si>
    <t>48:45</t>
  </si>
  <si>
    <t>Urfa-002_Jokes-Harran-2001.wav</t>
  </si>
  <si>
    <t>URFA-002-a</t>
  </si>
  <si>
    <t>01:27</t>
  </si>
  <si>
    <t>"Z:\SHAWI\Recordings\Urfa-All Recordings\Urfa-002_Jokes-Harran-2001.wav"</t>
  </si>
  <si>
    <t>Urfa-002_1_Joke_about_a_tribe-Harran-2001.wav</t>
  </si>
  <si>
    <t>URFA-002-b</t>
  </si>
  <si>
    <t>04:56</t>
  </si>
  <si>
    <t>Urfa-002_2_Blood_feud_in_the_past-Harran-2001.wav</t>
  </si>
  <si>
    <t>URFA-002-c</t>
  </si>
  <si>
    <t>01:40</t>
  </si>
  <si>
    <t>Urfa-002_3_The-incomplete_meal-Harran-2001.wav</t>
  </si>
  <si>
    <t>URFA-002-d</t>
  </si>
  <si>
    <t>Urfa-002_4_The_bull_in_the_jar-Harran-2001.wav</t>
  </si>
  <si>
    <t>16:51</t>
  </si>
  <si>
    <t>Urfa-003_Broker-Harran-2010.wav</t>
  </si>
  <si>
    <t>09:35</t>
  </si>
  <si>
    <t>Urfa-005_Householder-Harran-2010.wav</t>
  </si>
  <si>
    <t>07:08</t>
  </si>
  <si>
    <t>Urfa-006_Plants-Harran-2010.wav</t>
  </si>
  <si>
    <t>03:58</t>
  </si>
  <si>
    <t>Urfa-008_Tractor-Harran-2010.wav</t>
  </si>
  <si>
    <t>14:23</t>
  </si>
  <si>
    <t>Urfa-011_Cemetry-Harran-2010.wav</t>
  </si>
  <si>
    <t xml:space="preserve">
</t>
  </si>
  <si>
    <t>05:40</t>
  </si>
  <si>
    <t>Miriam Al Tawil</t>
  </si>
  <si>
    <t>Urfa-012_Lentils-Harran-2010.wav</t>
  </si>
  <si>
    <t>11:11</t>
  </si>
  <si>
    <t>Urfa-013_Snake_Killing-Harran-2010.wav</t>
  </si>
  <si>
    <t>14:04</t>
  </si>
  <si>
    <t>Urfa-014_Village_of_Qoran-Harran-2010.wav</t>
  </si>
  <si>
    <t>01:16</t>
  </si>
  <si>
    <t>Urfa-016_Short-Harran-2010.wav</t>
  </si>
  <si>
    <t>01:36</t>
  </si>
  <si>
    <t>Urfa-018_Milk_Bread-Harran-2010.wav</t>
  </si>
  <si>
    <t>07:36</t>
  </si>
  <si>
    <t>Urfa-019_Describing_A_House-Harran-2010.wav</t>
  </si>
  <si>
    <t>Urfa-021_Wedding-Harran-2010.wav</t>
  </si>
  <si>
    <t>01:32</t>
  </si>
  <si>
    <t>Urfa-022_Word_Zihid-Harran-2010.wav</t>
  </si>
  <si>
    <t>08:01</t>
  </si>
  <si>
    <t>Urfa-024_Vegetabels_and_Seasonal_Work-Harran-2010.wav</t>
  </si>
  <si>
    <t>21:50</t>
  </si>
  <si>
    <t>Urfa-026_Village_of_Mahawi_Ottomans-Harran-2010.wav</t>
  </si>
  <si>
    <t>05:49</t>
  </si>
  <si>
    <t>Urfa-027_Cultivation-Harran-2010.wav</t>
  </si>
  <si>
    <t>03:12</t>
  </si>
  <si>
    <t>Urfa-029_Smoking-Harran-2010.wav</t>
  </si>
  <si>
    <t>06:08</t>
  </si>
  <si>
    <t>Urfa-030_Abdalqadir-Harran-2010.wav</t>
  </si>
  <si>
    <t>08:53</t>
  </si>
  <si>
    <t>Urfa-032_Ali-Harran-2010.wav</t>
  </si>
  <si>
    <t>07:39</t>
  </si>
  <si>
    <t>Urfa-033_Sheikh_Nifil-Harran-2010.wav</t>
  </si>
  <si>
    <t>03:17</t>
  </si>
  <si>
    <t>Urfa-034_Liquorice-Harran-2010.wav</t>
  </si>
  <si>
    <t>Urfa-035_Formal-Harran-2010.wav</t>
  </si>
  <si>
    <t>30:53</t>
  </si>
  <si>
    <t>Urfa-040_Word_List-Harran-2010.wav</t>
  </si>
  <si>
    <t>03:18</t>
  </si>
  <si>
    <t>Urfa-041_Word_List_Cont-Harran-2010.wav</t>
  </si>
  <si>
    <t>08:09</t>
  </si>
  <si>
    <t>Urfa-042_Hospitality-Harran-2010.wav</t>
  </si>
  <si>
    <t>05:32</t>
  </si>
  <si>
    <t>Urfa-043_Truffle-Harran-2010.wav</t>
  </si>
  <si>
    <t>02:40</t>
  </si>
  <si>
    <t>Urfa-044_Sacks-Harran-2010.wav</t>
  </si>
  <si>
    <t>02:06</t>
  </si>
  <si>
    <t>Urfa-045_Gamra_Dariba-Harran-2010.wav</t>
  </si>
  <si>
    <t>04:40</t>
  </si>
  <si>
    <t>Urfa-046_Game_Xwetime-Harran-2010.wav</t>
  </si>
  <si>
    <t>00:50</t>
  </si>
  <si>
    <t>Urfa-047_Game_Qubbeya-Harran-2010.wav</t>
  </si>
  <si>
    <t>Urfa-048_Game_Cab-Harran-2010.wav</t>
  </si>
  <si>
    <t>05:47</t>
  </si>
  <si>
    <t>Urfa-051_Fatima-Harran-2010.wav</t>
  </si>
  <si>
    <t>Urfa-052_Shroud-Harran-2010.wav</t>
  </si>
  <si>
    <t>01:23</t>
  </si>
  <si>
    <t>Urfa-053_Wheat_Measures-Harran-2010.wav</t>
  </si>
  <si>
    <t>03:19</t>
  </si>
  <si>
    <t>Urfa-054_Real_Friend-Harran-2010.wav</t>
  </si>
  <si>
    <t>02:09</t>
  </si>
  <si>
    <t>Urfa-055_Cigkofte-Harran-2010.wav</t>
  </si>
  <si>
    <t>10:48</t>
  </si>
  <si>
    <t>Urfa-056_Gam-Harran-2010.wav</t>
  </si>
  <si>
    <t>Urfa-057_Story_of_Magician-Harran-2010.wav</t>
  </si>
  <si>
    <t>02:02</t>
  </si>
  <si>
    <t>Urfa-058_Hawashi-Harran-2010.wav</t>
  </si>
  <si>
    <t>07:07</t>
  </si>
  <si>
    <t>Urfa-059_Xandaq-Harran-2010.wav</t>
  </si>
  <si>
    <t>02:48</t>
  </si>
  <si>
    <t>Urfa-060_Truffle-Harran-2010.wav</t>
  </si>
  <si>
    <t>06:07</t>
  </si>
  <si>
    <t>Urfa-061_Life_of_al-Harrani-Harran-2010.wav</t>
  </si>
  <si>
    <t>04:25</t>
  </si>
  <si>
    <t>Urfa-062_Abu_Bakr-Harran-2010.wav</t>
  </si>
  <si>
    <t>00:31</t>
  </si>
  <si>
    <t>Urfa-063_Ali_and_the_Old_Man-Harran-2010.wav</t>
  </si>
  <si>
    <t>Urfa-065_Lightning-Harran-2010.wav</t>
  </si>
  <si>
    <t>02:01</t>
  </si>
  <si>
    <t>Urfa-066_Rocks-Harran-2010.wav</t>
  </si>
  <si>
    <t>25:35</t>
  </si>
  <si>
    <t>Urfa-067_Cultivation-Harran-2010.wav</t>
  </si>
  <si>
    <t>11:40</t>
  </si>
  <si>
    <t>Urfa-068_Tribes_Armenians_Jews-Harran-2010.wav</t>
  </si>
  <si>
    <t>04:32</t>
  </si>
  <si>
    <t>Urfa-069_Armenians-Harran-2010.wav</t>
  </si>
  <si>
    <t>00:27</t>
  </si>
  <si>
    <t>Urfa-070_Hen_House-Harran-2010.wav</t>
  </si>
  <si>
    <t>04:03</t>
  </si>
  <si>
    <t>Urfa-071_Agriculture-Harran-2010.wav</t>
  </si>
  <si>
    <t>07:45</t>
  </si>
  <si>
    <t>Urfa-072_Villages-Harran-2010.wav</t>
  </si>
  <si>
    <t>01:03</t>
  </si>
  <si>
    <t>Urfa-073_Talls_Flood-Harran-2010.wav</t>
  </si>
  <si>
    <t>01:05</t>
  </si>
  <si>
    <t>Urfa-074_Talls_Burial_for_Children-Harran-2010.wav</t>
  </si>
  <si>
    <t>03:37</t>
  </si>
  <si>
    <t>Urfa-075_Corn_and_Language-Harran-2010.wav</t>
  </si>
  <si>
    <t>Urfa-076_Bedouins-Harran-2010.wav</t>
  </si>
  <si>
    <t>15:19</t>
  </si>
  <si>
    <t>Urfa-077_Jinn-Harran-2010.wav</t>
  </si>
  <si>
    <t>05:44</t>
  </si>
  <si>
    <t>Urfa-078_Prophets-Harran-2010.wav</t>
  </si>
  <si>
    <t>04:08</t>
  </si>
  <si>
    <t>Urfa-079_Moses-Harran-2010.wav</t>
  </si>
  <si>
    <t>04:41</t>
  </si>
  <si>
    <t>Urfa-080_Gazelles_and_Jews-Harran-2010.wav</t>
  </si>
  <si>
    <t>02:36</t>
  </si>
  <si>
    <t>Urfa-081_Food_in_Former_Times-Harran-2010.wav</t>
  </si>
  <si>
    <t>01:18</t>
  </si>
  <si>
    <t>Urfa-082_Words_about_Kids-Harran-2010.wav</t>
  </si>
  <si>
    <t>01:10</t>
  </si>
  <si>
    <t>Urfa-083_Paradigm_Rukba-Harran-2010.wav</t>
  </si>
  <si>
    <t>02:43</t>
  </si>
  <si>
    <t>Urfa-084_b-sagti-Harran-2010.wav</t>
  </si>
  <si>
    <t>06:00</t>
  </si>
  <si>
    <t>Urfa-085_Snake_in_the_Cistern-Harran-2010.wav</t>
  </si>
  <si>
    <t>Urfa-086_Phone_Call-Harran-2010.wav</t>
  </si>
  <si>
    <t>01:04</t>
  </si>
  <si>
    <t>Urfa-087_Smide-Harran-2010.wav</t>
  </si>
  <si>
    <t>09:36</t>
  </si>
  <si>
    <t>Urfa-089_Pasha-Harran-2010.wav</t>
  </si>
  <si>
    <t>06:15</t>
  </si>
  <si>
    <t>Urfa-090_Baking_Bread-Harran-2010.wav</t>
  </si>
  <si>
    <t>09:00</t>
  </si>
  <si>
    <t>Urfa-092_Sultan_Murad-Harran-2010.wav</t>
  </si>
  <si>
    <t>17:27</t>
  </si>
  <si>
    <t>Urfa-093_Survey-Harran-2010.wav</t>
  </si>
  <si>
    <t>11:06</t>
  </si>
  <si>
    <t>Urfa-094_Three_Advices-Harran-2010.wav</t>
  </si>
  <si>
    <t>08:26</t>
  </si>
  <si>
    <t>Urfa-095_Old_Man_and_Wezir-Harran-2010.wav</t>
  </si>
  <si>
    <t>Urfa-097_Three_Daughters-Harran-2010.wav</t>
  </si>
  <si>
    <t>03:49</t>
  </si>
  <si>
    <t>Urfa-098_Young_Woman-Harran-2010.wav</t>
  </si>
  <si>
    <t>00:39</t>
  </si>
  <si>
    <t>Urfa-099_A_Man_from_TallXarma-Harran-2010.wav</t>
  </si>
  <si>
    <t>03:03</t>
  </si>
  <si>
    <t>Urfa-100_Introducing-Harran-2010.wav</t>
  </si>
  <si>
    <t>04:12</t>
  </si>
  <si>
    <t>Urfa-101_Qasida_on_Saddam-Harran-2010.wav</t>
  </si>
  <si>
    <t>03:55</t>
  </si>
  <si>
    <t>Urfa-102_Tribes-Harran-2010.wav</t>
  </si>
  <si>
    <t>00:52</t>
  </si>
  <si>
    <t>Urfa-103_Short_Badw-Harran-2010.wav</t>
  </si>
  <si>
    <t>01:57</t>
  </si>
  <si>
    <t>Urfa-104_Verses-Harran-2010.wav</t>
  </si>
  <si>
    <t>09:48</t>
  </si>
  <si>
    <t>Urfa-105_Life_in_Former_Times-Harran-2010.wav</t>
  </si>
  <si>
    <t>10:12</t>
  </si>
  <si>
    <t>Urfa-106_Visa_in_Ankara-Harran-2010.wav</t>
  </si>
  <si>
    <t>07:27</t>
  </si>
  <si>
    <t>Urfa-107_Cotton_Business-Harran-2010.wav</t>
  </si>
  <si>
    <t>11:54</t>
  </si>
  <si>
    <t>Urfa-108_Leader_of_a_Tribe-Harran-2010.wav</t>
  </si>
  <si>
    <t>Urfa-110_Salim_az-Zir-Harran-2010.wav</t>
  </si>
  <si>
    <t>03:02</t>
  </si>
  <si>
    <t>Urfa-111_Name_Engraving-Harran-2010.wav</t>
  </si>
  <si>
    <t>07:00</t>
  </si>
  <si>
    <t>Urfa-112_Tall_Nasir-Harran-2010.wav</t>
  </si>
  <si>
    <t>Urfa-113_Shammar-Harran-2010.wav</t>
  </si>
  <si>
    <t>10:01</t>
  </si>
  <si>
    <t>Urfa-114_Tribes-Harran-2010.wav</t>
  </si>
  <si>
    <t>02:37</t>
  </si>
  <si>
    <t>Urfa-115_Camel-Harran-2010.wav</t>
  </si>
  <si>
    <t>06:26</t>
  </si>
  <si>
    <t>Urfa-116_Stories-Harran-2010.wav</t>
  </si>
  <si>
    <t>00:47</t>
  </si>
  <si>
    <t>Urfa-117_Camel-Harran-2010.wav</t>
  </si>
  <si>
    <t>Urfa-118_Camel_Milk-Harran-2010.wav</t>
  </si>
  <si>
    <t>03:25</t>
  </si>
  <si>
    <t>Urfa-119_Engagement-Harran-2010.wav</t>
  </si>
  <si>
    <t>Urfa-120_Cross_Marriage-Harran-2010.wav</t>
  </si>
  <si>
    <t>00:53</t>
  </si>
  <si>
    <t>Urfa-121_Honey_Salesman-Harran-2010.wav</t>
  </si>
  <si>
    <t>04:30</t>
  </si>
  <si>
    <t>Urfa-122_Nimrod-Harran-2010.wav</t>
  </si>
  <si>
    <t>Urfa-123_Stealing_Boy_P1-Harran-2010.wav</t>
  </si>
  <si>
    <t>02:58</t>
  </si>
  <si>
    <t>Urfa-124_Stealing_Boy_P2-Harran-2010.wav</t>
  </si>
  <si>
    <t>04:20</t>
  </si>
  <si>
    <t>Urfa-125_Coffee-Harran-2010.wav</t>
  </si>
  <si>
    <t>00:51</t>
  </si>
  <si>
    <t>Urfa-127_Children_Singing_P1-Harran-2010.wav</t>
  </si>
  <si>
    <t>Urfa-128_Children_Singing_P2-Harran-2010.wav</t>
  </si>
  <si>
    <t>01:06</t>
  </si>
  <si>
    <t>Urfa-129_Children_Singing_P3-Harran-2010.wav</t>
  </si>
  <si>
    <t>01:25</t>
  </si>
  <si>
    <t>Urfa-130_Children_Singing_P4-Harran-2010.wav</t>
  </si>
  <si>
    <t>00:57</t>
  </si>
  <si>
    <t>Urfa-131_Children_Singing_P5-Harran-2010.wav</t>
  </si>
  <si>
    <t>02:10</t>
  </si>
  <si>
    <t>Urfa-132_Children_Singing_P6-Harran-2010.wav</t>
  </si>
  <si>
    <t>14:34</t>
  </si>
  <si>
    <t>Urfa-133_Sheikh_Musa-Harran-2013.wav</t>
  </si>
  <si>
    <t>04:11</t>
  </si>
  <si>
    <t>Urfa-134_Hayat_al-Harrani-Harran-2013.wav</t>
  </si>
  <si>
    <t>05:31</t>
  </si>
  <si>
    <t>Urfa-135_Burglars_From_Syria-Harran-2013.wav</t>
  </si>
  <si>
    <t>03:11</t>
  </si>
  <si>
    <t>Urfa-136_Cigkofte-Harran-2013.wav</t>
  </si>
  <si>
    <t>Urfa-137_Kazan_Kebab_P1-Harran-2013.wav</t>
  </si>
  <si>
    <t>02:18</t>
  </si>
  <si>
    <t>Urfa-138_Kazan_Kebab_P2-Harran-2013.wav</t>
  </si>
  <si>
    <t>01:24</t>
  </si>
  <si>
    <t>Urfa-139_Lahmacun-Harran-2013.wav</t>
  </si>
  <si>
    <t>02:33</t>
  </si>
  <si>
    <t>Urfa-140_Biyat-Harran-2013.wav</t>
  </si>
  <si>
    <t>01:54</t>
  </si>
  <si>
    <t>Urfa-141_Istishara-Harran-2013.wav</t>
  </si>
  <si>
    <t>03:56</t>
  </si>
  <si>
    <t>Urfa-142_Chilli_Pepper-Harran-2013.wav</t>
  </si>
  <si>
    <t>Urfa-143_Burgul-Harran-2013.wav</t>
  </si>
  <si>
    <t>03:23</t>
  </si>
  <si>
    <t>Urfa-144_Malfuf-Harran-2013.wav</t>
  </si>
  <si>
    <t>05:19</t>
  </si>
  <si>
    <t>Urfa-145_Prophet_Ayyub-Harran-2013.wav</t>
  </si>
  <si>
    <t>07:22</t>
  </si>
  <si>
    <t>Urfa-146_Wolf-Harran-2013.wav</t>
  </si>
  <si>
    <t>06:18</t>
  </si>
  <si>
    <t>Urfa-147_Story_of_a_Woman-Harran-2013.wav</t>
  </si>
  <si>
    <t>02:05</t>
  </si>
  <si>
    <t>Urfa-148_Counting-Harran-2013.wav</t>
  </si>
  <si>
    <t>07:16</t>
  </si>
  <si>
    <t>Urfa-149_Bird-Harran-2014.wav</t>
  </si>
  <si>
    <t>02:12</t>
  </si>
  <si>
    <t>Urfa-150_Iclikofte-Harran-2014.wav</t>
  </si>
  <si>
    <t>02:45</t>
  </si>
  <si>
    <t>Urfa-151_Ashura-Harran-2014.wav</t>
  </si>
  <si>
    <t>02:52</t>
  </si>
  <si>
    <t>Urfa-152_Dream-Harran-2014.wav</t>
  </si>
  <si>
    <t>02:54</t>
  </si>
  <si>
    <t>Urfa-153_Sheikh_Hasan-Harran-2014.wav</t>
  </si>
  <si>
    <t>06:14</t>
  </si>
  <si>
    <t>Urfa-154_Magician-Harran-2014.wav</t>
  </si>
  <si>
    <t>04:10</t>
  </si>
  <si>
    <t>Urfa-155_Childhood-Harran-2014.wav</t>
  </si>
  <si>
    <t>06:30</t>
  </si>
  <si>
    <t>Urfa-156_Moses_and_Woman-Harran-2014.wav</t>
  </si>
  <si>
    <t>02:55</t>
  </si>
  <si>
    <t>Urfa-157_Moses_and_his_Neighbor_in_Paradise-Harran-2014.wav</t>
  </si>
  <si>
    <t>Urfa-158_Moses_and_Dog-Harran-2014.wav</t>
  </si>
  <si>
    <t>Urfa-159_Moses_and_Old_Woman-Harran-2014.wav</t>
  </si>
  <si>
    <t>Urfa-160_Seyhmus-Harran-2014.wav</t>
  </si>
  <si>
    <t>03:04</t>
  </si>
  <si>
    <t>Urfa-161_Jew_Visiting_Moses-Harran-2014.wav</t>
  </si>
  <si>
    <t>01:55</t>
  </si>
  <si>
    <t>Urfa-162_Umm_al-Qet-Harran-2014.wav</t>
  </si>
  <si>
    <t>04:09</t>
  </si>
  <si>
    <t>Urfa-163_Quilts-Harran-2014.wav</t>
  </si>
  <si>
    <t>08:56</t>
  </si>
  <si>
    <t>Urfa-164_Baking_Bread-Harran-2014.wav</t>
  </si>
  <si>
    <t>06:28</t>
  </si>
  <si>
    <t>Urfa-165_Childhood-Harran-2014.wav</t>
  </si>
  <si>
    <t>04:47</t>
  </si>
  <si>
    <t>Urfa-166_Three_Wishes-Harran-2014.wav</t>
  </si>
  <si>
    <t>06:10</t>
  </si>
  <si>
    <t>Urfa-167_Sheikh_'Nad-Harran-2014.wav</t>
  </si>
  <si>
    <t>Urfa-168_Sheep-Harran-2014.wav</t>
  </si>
  <si>
    <t>01:53</t>
  </si>
  <si>
    <t>Urfa-169_Ottoman_in_England-Harran-2014.wav</t>
  </si>
  <si>
    <t>Urfa-170_Ottoman_in_England_Cont-Harran-2014.wav</t>
  </si>
  <si>
    <t>Urfa-171_Moses_Livelihood-Harran-2014.wav</t>
  </si>
  <si>
    <t>06:48</t>
  </si>
  <si>
    <t>Urfa-172_Working_in_Gas_Station-Harran-2014.wav</t>
  </si>
  <si>
    <t>01:29</t>
  </si>
  <si>
    <t>Urfa-173_Woman_with_No_Lover_Short-Harran-2014.wav</t>
  </si>
  <si>
    <t>Urfa-174_Games-Harran-2014.wav</t>
  </si>
  <si>
    <t>03:28</t>
  </si>
  <si>
    <t>Urfa-175_Bastig-Harran-2014.wav</t>
  </si>
  <si>
    <t>05:38</t>
  </si>
  <si>
    <t>Urfa-176_Condolences-Harran-2014.wav</t>
  </si>
  <si>
    <t>16:39</t>
  </si>
  <si>
    <t>Urfa-177_Wedding_in_Former_Times-Harran-2014.wav</t>
  </si>
  <si>
    <t>Urfa-178_Wedding_in_Modern_Times-Harran-2014.wav</t>
  </si>
  <si>
    <t>09:20</t>
  </si>
  <si>
    <t>Urfa-179_Grandfather-Harran-2014.wav</t>
  </si>
  <si>
    <t>02:13</t>
  </si>
  <si>
    <t>Urfa-180_Diseases_in_Former_Times-Harran-2014.wav</t>
  </si>
  <si>
    <t>Urfa-181_Prophet_and_Snake-Harran-2014.wav</t>
  </si>
  <si>
    <t>02:50</t>
  </si>
  <si>
    <t>Urfa-182_Two_Brothers-Harran-2014.wav</t>
  </si>
  <si>
    <t>02:31</t>
  </si>
  <si>
    <t>Urfa-183_Policeman_and_Carp-Harran-2014.wav</t>
  </si>
  <si>
    <t>Urfa-184_Evil_Eye-Harran-2014.wav</t>
  </si>
  <si>
    <t>Urfa-185_Sneezing-Harran-2015.wav</t>
  </si>
  <si>
    <t>01:26</t>
  </si>
  <si>
    <t>Urfa-186_Bidile-Harran-2015.wav</t>
  </si>
  <si>
    <t>Urfa-187_Two_Women_and_Fridge-Harran-2015.wav</t>
  </si>
  <si>
    <t>Urfa-188_Shepherd-Harran-2015.wav</t>
  </si>
  <si>
    <t>Urfa-189_Wanted_to_Marry-Harran-2015.wav</t>
  </si>
  <si>
    <t>02:38</t>
  </si>
  <si>
    <t>Urfa-190_ill_Blind_Mother-Harran-2015.wav</t>
  </si>
  <si>
    <t>Urfa-191_Kurd_and_Two_Wives-Harran-2015.wav</t>
  </si>
  <si>
    <t>04:21</t>
  </si>
  <si>
    <t>Urfa-192_Who_Chooses_a_Horse-Harran-2015.wav</t>
  </si>
  <si>
    <t>Urfa-193_Priapism-Harran-2015.wav</t>
  </si>
  <si>
    <t>02:14</t>
  </si>
  <si>
    <t>Urfa-194_Afraid_of_Dogs-Harran-2017.wav</t>
  </si>
  <si>
    <t>01:46</t>
  </si>
  <si>
    <t>Urfa-195_Best_and_Worst_Part_of_the_Sheep-Harran-2017.wav</t>
  </si>
  <si>
    <t>00:33</t>
  </si>
  <si>
    <t>Urfa-196_What_the_Aunt_Thinks_of_her_Two_Husbands-Harran-2017.wav</t>
  </si>
  <si>
    <t>Urfa-197_Slaughtering_and_Plucking_the_Chicken-Harran-2017.wav</t>
  </si>
  <si>
    <t>06:03</t>
  </si>
  <si>
    <t>Urfa-198_Eid_Al-Adha-Harran-2017.wav</t>
  </si>
  <si>
    <t>Urfa-199_How_Tee_Came_To_Qoran-Harran-2017.wav</t>
  </si>
  <si>
    <t>02:20</t>
  </si>
  <si>
    <t>Urfa-200_Burying_Grandfather-Harran-2017.wav</t>
  </si>
  <si>
    <t>01:45</t>
  </si>
  <si>
    <t>Urfa-201_Story_of_Cigkofte-Harran-2017.wav</t>
  </si>
  <si>
    <t>Ismail Batan</t>
  </si>
  <si>
    <t>Urfa-202_Al-Shukwa-Harran-2017.wav</t>
  </si>
  <si>
    <t>02:34</t>
  </si>
  <si>
    <t>Urfa-203_Tattooing-Harran-2017.wav</t>
  </si>
  <si>
    <t>07:23</t>
  </si>
  <si>
    <t>Urfa-204_Water_Hose-Harran-2017.wav</t>
  </si>
  <si>
    <t>04:54</t>
  </si>
  <si>
    <t>Urfa-205_Second_Marriage-Harran-2017.wav</t>
  </si>
  <si>
    <t>08:59</t>
  </si>
  <si>
    <t>Urfa-206_Agriculture_in_Former_Times-Harran-2017.wav</t>
  </si>
  <si>
    <t>16:48</t>
  </si>
  <si>
    <t>Urfa-207_Wedding_Death_Clothes_in_Former_Times-Harran-2017.wav</t>
  </si>
  <si>
    <t>Urfa-287_Beating_Up_Syrians-Harran-2018.wav</t>
  </si>
  <si>
    <t>42:24</t>
  </si>
  <si>
    <t>Urfa-288_About_Personal_Life_Part1-Harran-2018.wav</t>
  </si>
  <si>
    <t>55:13</t>
  </si>
  <si>
    <t>Urfa-289_About_Personal_Life_Part2-Harran-2018.wav</t>
  </si>
  <si>
    <t>48:48</t>
  </si>
  <si>
    <t>Urfa-294_About_Grandfather_and_Mother-Harran-2018.wav</t>
  </si>
  <si>
    <t>06:49</t>
  </si>
  <si>
    <t>Urfa-298_Inside_the_Cave_Part1-Harran-2018.wav</t>
  </si>
  <si>
    <t>01:33</t>
  </si>
  <si>
    <t>Urfa-302_Inside_the_Cave_Part2-Harran-2018.wav</t>
  </si>
  <si>
    <t>Urfa-303_Inside_the_Cave_Part3-Harran-2018.wav</t>
  </si>
  <si>
    <t>09:55</t>
  </si>
  <si>
    <t>Urfa-304_Inside_the_Cave_Part4-Harran-2018.wav</t>
  </si>
  <si>
    <t>03:01</t>
  </si>
  <si>
    <t>Urfa-305_Inside_the_Cave_Part5-Harran-2018.wav</t>
  </si>
  <si>
    <t>06:31</t>
  </si>
  <si>
    <t>Urfa-306_Conversation_in_front_of_the_House_Part1-Harran-2018.wav</t>
  </si>
  <si>
    <t>05:12</t>
  </si>
  <si>
    <t>Urfa-307_Conversation_in_front_of_the_House_Part2-Harran-2018.wav</t>
  </si>
  <si>
    <t>11:03</t>
  </si>
  <si>
    <t>Urfa-308_Conversation_in_front_of_the_House_Part3-Harran-2018.wav</t>
  </si>
  <si>
    <t>06:32</t>
  </si>
  <si>
    <t>Urfa-310_Conversation_in_front_of_the_House_Part4-Harran-2018.wav</t>
  </si>
  <si>
    <t>06:09</t>
  </si>
  <si>
    <t>Urfa-312_Arabic_Kebab-Harran-2018.wav</t>
  </si>
  <si>
    <t>02:30</t>
  </si>
  <si>
    <t>Urfa-314_Bastirma-Harran-2018.wav</t>
  </si>
  <si>
    <t>Urfa-315_Word_Hadag-Harran-2018.wav</t>
  </si>
  <si>
    <t>18:55</t>
  </si>
  <si>
    <t>Urfa-316_Neighbor_and_Former_Times_Part1-Harran-2018.wav</t>
  </si>
  <si>
    <t>Urfa-317_Neighbor_and_Former_Times_Part2-Harran-2018.wav</t>
  </si>
  <si>
    <t>18:45</t>
  </si>
  <si>
    <t>Urfa-319_How_Father_Grandfather_Came_To_Urfa-Harran-2018.wav</t>
  </si>
  <si>
    <t>01:50</t>
  </si>
  <si>
    <t>Urfa-320_Girls_Singing_Part1-Harran-2018.wav</t>
  </si>
  <si>
    <t>Urfa-321_Girls_Singing_Part2-Harran-2018.wav</t>
  </si>
  <si>
    <t>Urfa-322_Girls_Singing_Part3-Harran-2018.wav</t>
  </si>
  <si>
    <t>17:26</t>
  </si>
  <si>
    <t>Urfa-323_Soldiers_Looking_for_an_Outlaw-Harran-2018.wav</t>
  </si>
  <si>
    <t>06:25</t>
  </si>
  <si>
    <t>Urfa-324_Situation_in_Syria-Harran-2021.wav</t>
  </si>
  <si>
    <t>Not Checked Yet</t>
  </si>
  <si>
    <t>03:15</t>
  </si>
  <si>
    <t>Urfa-325_Syria_in_Former_Times-Harran-2021.wav</t>
  </si>
  <si>
    <t>Urfa-326_Syrians_to_Turkey-Harran-2021.wav</t>
  </si>
  <si>
    <t>Urfa-327_Consent-Harran-2021.wav</t>
  </si>
  <si>
    <t>URFA-328</t>
  </si>
  <si>
    <t>07:34</t>
  </si>
  <si>
    <t>Urfa-328_In_Telabyad-Harran-2021.wav</t>
  </si>
  <si>
    <t>07:03</t>
  </si>
  <si>
    <t>Urfa-329_Personal_Marriage_Story-Harran-2021.wav</t>
  </si>
  <si>
    <t>03:42</t>
  </si>
  <si>
    <t>Urfa-330_Qorban_Eid-Harran-2021.wav</t>
  </si>
  <si>
    <t>Urfa-331_Short-Harran-2021.wav</t>
  </si>
  <si>
    <t>Urfa-332_Punishment_for_Fornication-Harran-2021.wav</t>
  </si>
  <si>
    <t>30:51</t>
  </si>
  <si>
    <t>Urfa-333_History_and_Prophets-Harran-2021.wav</t>
  </si>
  <si>
    <t>40:38</t>
  </si>
  <si>
    <t>Urfa-334_Personal_Life_Story-Harran-2021.wav</t>
  </si>
  <si>
    <t>Urfa-335_Tee-Harran-2021.wav</t>
  </si>
  <si>
    <t>Urfa-336_Moses_Rain-Harran-2021.wav</t>
  </si>
  <si>
    <t>30:37</t>
  </si>
  <si>
    <t>Urfa-337_Marriage_P1-Harran-2021.wav</t>
  </si>
  <si>
    <t>Urfa-338_Marriage_P2-Harran-2021.wav</t>
  </si>
  <si>
    <t>01:31</t>
  </si>
  <si>
    <t>Urfa-339_Shepherd_with_Watermelon-Harran-2021.wav</t>
  </si>
  <si>
    <t>07:44</t>
  </si>
  <si>
    <t>Urfa-340_Stories_about_the_Prophet_P1-Harran-2021.wav</t>
  </si>
  <si>
    <t>04:13</t>
  </si>
  <si>
    <t>Urfa-342_Stories_about_the_Prophet_P2-Harran-2021.wav</t>
  </si>
  <si>
    <t>Urfa-343_Comparing_Marriage-Harran-2021.wav</t>
  </si>
  <si>
    <t>12:26</t>
  </si>
  <si>
    <t>Urfa-344_Stories-Harran-2021.wav</t>
  </si>
  <si>
    <t>01:48</t>
  </si>
  <si>
    <t>Urfa-345_Fornication-Harran-2021.wav</t>
  </si>
  <si>
    <t>05:15</t>
  </si>
  <si>
    <t>Urfa-346_Bread_for_Syrians-Harran-2021.wav</t>
  </si>
  <si>
    <t>Urfa-347_Tribes_in_Akcakale-Harran-2021.wav</t>
  </si>
  <si>
    <t>37:48</t>
  </si>
  <si>
    <t>Urfa-348_Stories-Harran-2021.wav</t>
  </si>
  <si>
    <t>17:36</t>
  </si>
  <si>
    <t>Urfa-349_King_Faisal-Harran-2021.wav</t>
  </si>
  <si>
    <t>08:42</t>
  </si>
  <si>
    <t>Urfa-350_Arab_Tribes_and_al-Nawagih-Harran-2021.wav</t>
  </si>
  <si>
    <t>Urfa-351_Forgetting_Things-Harran-2021.wav</t>
  </si>
  <si>
    <t>14:18</t>
  </si>
  <si>
    <t>Urfa-352_Washing_Clothes-Harran-2021.wav</t>
  </si>
  <si>
    <t>40:22</t>
  </si>
  <si>
    <t>Urfa-353_Prophet_Ibrahim_and_Yusuf-Harran-2021.wav</t>
  </si>
  <si>
    <t>05:00</t>
  </si>
  <si>
    <t>Urfa-354_Zulayha-Harran-2021.wav</t>
  </si>
  <si>
    <t>Urfa-355_Threshing_Wheat-Harran-2021.wav</t>
  </si>
  <si>
    <t>15:24</t>
  </si>
  <si>
    <t>Urfa-356_Harvesting-Harran-2021.wav</t>
  </si>
  <si>
    <t>09:32</t>
  </si>
  <si>
    <t>Urfa-357_Tribes_and_Conflicts-Harran-2021.wav</t>
  </si>
  <si>
    <t>14:50</t>
  </si>
  <si>
    <t>Urfa-358_Story_of_Man_in_Mecca-Harran-2021.wav</t>
  </si>
  <si>
    <t>04:43</t>
  </si>
  <si>
    <t>Urfa-359_Yozgatli_in_Mecca-Harran-2021.wav</t>
  </si>
  <si>
    <t>11:52</t>
  </si>
  <si>
    <t>Urfa-360_Technology_and_Story_Gold-Harran-2021.wav</t>
  </si>
  <si>
    <t>Urfa-361_Consent-Harran-2021.wav</t>
  </si>
  <si>
    <t>05:26</t>
  </si>
  <si>
    <t>Urfa-362_Marrying_Russian_Syrian_Women-Harran-2021.wav</t>
  </si>
  <si>
    <t>13:21</t>
  </si>
  <si>
    <t>Urfa-363_Old-Times-in-Village-Harran-2021.wav</t>
  </si>
  <si>
    <t>08:24</t>
  </si>
  <si>
    <t>Urfa-364_Life_in_the_Village-Harran-2021.wav</t>
  </si>
  <si>
    <t>06:24</t>
  </si>
  <si>
    <t>Urfa-365_Conversation-Harran-2021.wav</t>
  </si>
  <si>
    <t>23:00</t>
  </si>
  <si>
    <t>Urfa-366_Conversation_and_Second_Wife-Harran-2021.wav</t>
  </si>
  <si>
    <t>11:55</t>
  </si>
  <si>
    <t>Urfa-367_Conversation_and_Story-Harran-2021.wav</t>
  </si>
  <si>
    <t>01:15</t>
  </si>
  <si>
    <t>Urfa-368_Consent-Harran-2021.wav</t>
  </si>
  <si>
    <t>Urfa-369_Food_and_Traditions-Harran-2021.wav</t>
  </si>
  <si>
    <t>24:49</t>
  </si>
  <si>
    <t>Urfa-370_Purification_and_Others-Harran-2021.wav</t>
  </si>
  <si>
    <t>07:10</t>
  </si>
  <si>
    <t>Urfa-371_Asking_for_Girl_Hospitality-Harran-2021.wav</t>
  </si>
  <si>
    <t>Urfa-372_Consent-Harran-2021.wav</t>
  </si>
  <si>
    <t>19:53</t>
  </si>
  <si>
    <t>Urfa-373_Bedouins_and_Tribes_Tall_Shnan-Harran-2021.wav</t>
  </si>
  <si>
    <t>Urfa-374_Nimr_Ibn_Adwan-Harran-2021.wav</t>
  </si>
  <si>
    <t>11:02</t>
  </si>
  <si>
    <t>Urfa-375_Family_Story-Harran-2022.wav</t>
  </si>
  <si>
    <t>12:58</t>
  </si>
  <si>
    <t>Urfa-376_Shepherds_in_Former_Times-Harran-2022.wav</t>
  </si>
  <si>
    <t>16:40</t>
  </si>
  <si>
    <t>Urfa-377_Talking_About_Rich_Cheap_People-Harran-2022.wav</t>
  </si>
  <si>
    <t>02:35</t>
  </si>
  <si>
    <t>Urfa-378_Motor-Harran-2022.wav</t>
  </si>
  <si>
    <t>39:17</t>
  </si>
  <si>
    <t>Urfa-379_Tribe_History-Harran-2022.wav</t>
  </si>
  <si>
    <t>33:26</t>
  </si>
  <si>
    <t>Urfa-380_The_Government-Harran-2022.wav</t>
  </si>
  <si>
    <t>23:58</t>
  </si>
  <si>
    <t>Urfa-381_Costs_Money_Salaries-Harran-2022.wav</t>
  </si>
  <si>
    <t>Urfa-382_Bani_Ashur-Harran-2022.wav</t>
  </si>
  <si>
    <t>04:02</t>
  </si>
  <si>
    <t>Urfa-383_Hagg_Ali-Harran-2022.wav</t>
  </si>
  <si>
    <t>10:10</t>
  </si>
  <si>
    <t>Urfa-384_Importance_of_Tribes-Harran-2022.wav</t>
  </si>
  <si>
    <t>09:59</t>
  </si>
  <si>
    <t>Urfa-385_Fights_with_Syrians-Harran-2022.wav</t>
  </si>
  <si>
    <t>Urfa-386_Tribe_Baggara-Harran-2022.wav</t>
  </si>
  <si>
    <t>09:54</t>
  </si>
  <si>
    <t>Urfa-387_Working_Honestly-Harran-2022.wav</t>
  </si>
  <si>
    <t>13:30</t>
  </si>
  <si>
    <t>Urfa-388_Speaking_Arabic-Harran-2022.wav</t>
  </si>
  <si>
    <t>11:00</t>
  </si>
  <si>
    <t>Urfa-389_Life_in_Former_Times-Harran-2022.wav</t>
  </si>
  <si>
    <t>12:02</t>
  </si>
  <si>
    <t>Urfa-390_Tribes_Wars-Harran-2022.wav</t>
  </si>
  <si>
    <t>Urfa-391_Wars_In_Former_Times-Harran-2022.wav</t>
  </si>
  <si>
    <t>09:24</t>
  </si>
  <si>
    <t>Urfa-392_Kurdish_Tribes-Harran-2022.wav</t>
  </si>
  <si>
    <t>26:08</t>
  </si>
  <si>
    <t>Urfa-393_People_and_Friendships-Harran-2022.wav</t>
  </si>
  <si>
    <t>17:57</t>
  </si>
  <si>
    <t>Urfa-394_Generosity-Harran-2022.wav</t>
  </si>
  <si>
    <t>10:45</t>
  </si>
  <si>
    <t>Urfa-395_Burgul_Spending_Money-Harran-2022.wav</t>
  </si>
  <si>
    <t>38:15</t>
  </si>
  <si>
    <t>Urfa-396_Three_Brothers-Harran-2022.wav</t>
  </si>
  <si>
    <t>12:51</t>
  </si>
  <si>
    <t>Urfa-397_Story_of_a_Man-Harran-2022.wav</t>
  </si>
  <si>
    <t>09:53</t>
  </si>
  <si>
    <t>Urfa-398_Jabir-al-Ansari-Harran-2022.wav</t>
  </si>
  <si>
    <t>0:50</t>
  </si>
  <si>
    <t>Urfa-399_Names_of_Sheep-Harran-2022.wav</t>
  </si>
  <si>
    <t>01:42</t>
  </si>
  <si>
    <t>Urfa-400_Large_Bird-Harran-2022.wav</t>
  </si>
  <si>
    <t>0:43</t>
  </si>
  <si>
    <t>Urfa-401_Large_Bird_Cont-Harran-2022.wav</t>
  </si>
  <si>
    <t>11:22</t>
  </si>
  <si>
    <t>Urfa-402_Prophet_Sulayman_Bilqis-Harran-2022.wav</t>
  </si>
  <si>
    <t>33:29</t>
  </si>
  <si>
    <t>Urfa-403_Amine-on-Family_Part1-Harran-2022.wav</t>
  </si>
  <si>
    <t>13:20</t>
  </si>
  <si>
    <t>Urfa-404_Amine-on-Family_Part2-Harran-2022.wav</t>
  </si>
  <si>
    <t>20:45</t>
  </si>
  <si>
    <t>Urfa-405_Siverek_Conversations-Harran-2022.wav</t>
  </si>
  <si>
    <t>07:33</t>
  </si>
  <si>
    <t>Urfa-406_Siverek_Arab_Alyan-Harran-2022.wav</t>
  </si>
  <si>
    <t>Urfa-407_Siverek_Conversation-on-Arabs-Harran-2022.wav</t>
  </si>
  <si>
    <t>Urfa-408_Siverek_History_Arabs-Harran-2022.wav</t>
  </si>
  <si>
    <t>Urfa-409_Siverek_Conversation-Harran-2022.wav</t>
  </si>
  <si>
    <t>Urfa-410_Mezra-on-Village-Harran-2022.wav</t>
  </si>
  <si>
    <t>08:16</t>
  </si>
  <si>
    <t>Urfa-411_Mezra-Conversations_Part1-Harran-2022.wav</t>
  </si>
  <si>
    <t>Urfa-412_Mezra-Conversations_Part2-Harran-2022.wav</t>
  </si>
  <si>
    <t>02:26</t>
  </si>
  <si>
    <t>Urfa-413_Mezra-on-Family-Harran-2022.wav</t>
  </si>
  <si>
    <t>02:46</t>
  </si>
  <si>
    <t>Urfa-414_Mezra_Villages_and_Euphrates_Flood-Harran-2022.wav</t>
  </si>
  <si>
    <t>12:49</t>
  </si>
  <si>
    <t>Urfa-415_Mezra_Jail_Story-Harran-2022.wav</t>
  </si>
  <si>
    <t>Urfa-416_Mezra_on_Conflict-Harran-2022.wav</t>
  </si>
  <si>
    <t>Urfa-417_Mezra_Tribes_Village-Harran-2022.wav</t>
  </si>
  <si>
    <t>02:08</t>
  </si>
  <si>
    <t>Urfa-418_Consent_Hashimi-Harran-2022.wav</t>
  </si>
  <si>
    <t>Urfa-419_History_Local_Arabs-Harran-2022.wav</t>
  </si>
  <si>
    <t>03:05</t>
  </si>
  <si>
    <t>Urfa-420_Prophets-Harran-2022.wav</t>
  </si>
  <si>
    <t>"Z:\SHAWI\Recordings\Urfa-All Recordings\Urfa-421_Kontorcus_Sheikhs_Crododile_Story-Harran-2022.WAV"</t>
  </si>
  <si>
    <t>Urfa-421a_Kontorcus_Sheikhs_Crododile_Story-Harran-2022.wav</t>
  </si>
  <si>
    <t>Urfa-421b_Kontorcus_Sheikhs_Crododile_Story-Harran-2022.wav</t>
  </si>
  <si>
    <t>06:29</t>
  </si>
  <si>
    <t>Urfa-422_Hunger_Caves-Conquest_Lut-Harran-2022.wav</t>
  </si>
  <si>
    <t>03:09</t>
  </si>
  <si>
    <t>Urfa-423_Rizwan_Pasha-Harran-2022.wav</t>
  </si>
  <si>
    <t>07:02</t>
  </si>
  <si>
    <t>Urfa-424_Sheikhs_Saints_Adam-Harran-2022.wav</t>
  </si>
  <si>
    <t>Urfa-425_Thiefs_Dervishes-Harran-2022.wav</t>
  </si>
  <si>
    <t>07:49</t>
  </si>
  <si>
    <t>Urfa-426_Hashimis_Life_Ottomans_Sufis-Harran-2022.wav</t>
  </si>
  <si>
    <t>09:44</t>
  </si>
  <si>
    <t>Urfa-427_Miracle_of_Prophet_Camel-Harran-2022.wav</t>
  </si>
  <si>
    <t>06:58</t>
  </si>
  <si>
    <t>Urfa-428_Funny_Story_Donkey-Harran-2022.wav</t>
  </si>
  <si>
    <t>06:11</t>
  </si>
  <si>
    <t>Urfa-429_Old-Days-Harran-2022.wav</t>
  </si>
  <si>
    <t>11:56</t>
  </si>
  <si>
    <t>Urfa-430_Sheikhs_Prophet_Ibrahim-Harran-2022.wav</t>
  </si>
  <si>
    <t>Urfa-431_God_Loves_The_Poor-Harran-2022.wav</t>
  </si>
  <si>
    <t>03:29</t>
  </si>
  <si>
    <t>Urfa-432_Story-of-Two-Sisters-Harran-2022.wav</t>
  </si>
  <si>
    <t>Urfa-433_Gumeli-Harran-2023.wav</t>
  </si>
  <si>
    <t>01:43</t>
  </si>
  <si>
    <t>Urfa-434_Bani_Igil-Harran-2023.wav</t>
  </si>
  <si>
    <t>Urfa-435_A_Girl-Harran-2023.wav</t>
  </si>
  <si>
    <t>20:34</t>
  </si>
  <si>
    <t>Urfa-436_Good_Women-Harran-2023.wav</t>
  </si>
  <si>
    <t>25:11</t>
  </si>
  <si>
    <t>Urfa-437_Tribes-Harran-2023.wav</t>
  </si>
  <si>
    <t>28:09</t>
  </si>
  <si>
    <t>Urfa-438_Conversations-Harran-2023.wav</t>
  </si>
  <si>
    <t>08:45</t>
  </si>
  <si>
    <t>Urfa-439_Surgery-Harran-2023.wav</t>
  </si>
  <si>
    <t>Urfa-440_Walking-Harran-2023.wav</t>
  </si>
  <si>
    <t>04:33</t>
  </si>
  <si>
    <t>Urfa-441_Being_Grateful-Harran-2023.wav</t>
  </si>
  <si>
    <t>15:00</t>
  </si>
  <si>
    <t>Urfa-442_Lost_Manners-Harran-2023.wav</t>
  </si>
  <si>
    <t>25:56</t>
  </si>
  <si>
    <t>Urfa-443_Arabs_and_Kurds-Harran-2023.wav</t>
  </si>
  <si>
    <t>12:12</t>
  </si>
  <si>
    <t>Urfa-444_Arab_Tribes-Harran-2023.wav</t>
  </si>
  <si>
    <t>Urfa-445_Origin_of_Adwan-Harran-2023.wav</t>
  </si>
  <si>
    <t>12:24</t>
  </si>
  <si>
    <t>Urfa-446_History-Harran-2023.wav</t>
  </si>
  <si>
    <t>10:51</t>
  </si>
  <si>
    <t>Urfa-447_Arab_Countries-Harran-2023.wav</t>
  </si>
  <si>
    <t>Urfa-448_Arab_Invading_Tribes-Harran-2023.wav</t>
  </si>
  <si>
    <t>14:24</t>
  </si>
  <si>
    <t>Urfa-449_Tribe_Adwan-Harran-2023.wav</t>
  </si>
  <si>
    <t>Urfa-450_Importance_of_Knoweldge-Harran-2023.wav</t>
  </si>
  <si>
    <t>07:18</t>
  </si>
  <si>
    <t>Urfa-451_Bad_Manners-Harran-2023.wav</t>
  </si>
  <si>
    <t>13:03</t>
  </si>
  <si>
    <t>Urfa-452_Stories-Harran-2023.wav</t>
  </si>
  <si>
    <t>14:00</t>
  </si>
  <si>
    <t>Urfa-453_Stories-Harran-2023.wav</t>
  </si>
  <si>
    <t>12:25</t>
  </si>
  <si>
    <t>Urfa-454_Arab_Leaders-Harran-2023.wav</t>
  </si>
  <si>
    <t>Urfa-455_Sweets-Harran-2023.wav</t>
  </si>
  <si>
    <t>02:49</t>
  </si>
  <si>
    <t>Urfa-456_Women_and_Men-Harran-2023.wav</t>
  </si>
  <si>
    <t>01:21</t>
  </si>
  <si>
    <t>Urfa-457_Two_Lovers-Harran-2023.wav</t>
  </si>
  <si>
    <t>Urfa-458_Woman-Harran-2023.wav</t>
  </si>
  <si>
    <t>Urfa-459_Family_Problems-Harran-2023.wav</t>
  </si>
  <si>
    <t>08:10</t>
  </si>
  <si>
    <t>Urfa-460_Water-Well-Harran-2023.wav</t>
  </si>
  <si>
    <t>00:54</t>
  </si>
  <si>
    <t>Urfa-461_Father_and_Donkey-Harran-2023.wav</t>
  </si>
  <si>
    <t>11:07</t>
  </si>
  <si>
    <t>Urfa-462_Maternal_Uncles-Harran-2023.wav</t>
  </si>
  <si>
    <t>14:01</t>
  </si>
  <si>
    <t>Urfa-463_Family_Story-Harran-2023.wav</t>
  </si>
  <si>
    <t>09:45</t>
  </si>
  <si>
    <t>Urfa-464_Mezraa_Conversation1-Harran-2023.wav</t>
  </si>
  <si>
    <t>08:32</t>
  </si>
  <si>
    <t>Urfa-465_Mezraa_Conversation2-Harran-2023.wav</t>
  </si>
  <si>
    <t>03:39</t>
  </si>
  <si>
    <t>Urfa-466_Mezraa_Questionnaire1-Harran-2023.wav</t>
  </si>
  <si>
    <t>Urfa-467_Mezraa_Earthquake-Harran-2023.wav</t>
  </si>
  <si>
    <t>Urfa-468_Mezraa_Conversation3-Harran-2023.wav</t>
  </si>
  <si>
    <t>00:58</t>
  </si>
  <si>
    <t>Urfa-469_Mezraa_Conversation4-Harran-2023.wav</t>
  </si>
  <si>
    <t>25:25</t>
  </si>
  <si>
    <t>Urfa-470_Mezraa_Conversation5-Harran-2023.wav</t>
  </si>
  <si>
    <t>Urfa-471_Mezraa_Conversation6-Harran-2023.wav</t>
  </si>
  <si>
    <t>18:48</t>
  </si>
  <si>
    <t>Urfa-472_Mezraa_Conversation7-Harran-2023.wav</t>
  </si>
  <si>
    <t>URFA-473a</t>
  </si>
  <si>
    <t>01:52</t>
  </si>
  <si>
    <t>Urfa-473a_Mezraa_Questionnaire2-Harran-2023.wav</t>
  </si>
  <si>
    <t>URFA-474a</t>
  </si>
  <si>
    <t>03:07</t>
  </si>
  <si>
    <t>Urfa-474a_Mezraa_Questionnaire3-Harran-2023.wav</t>
  </si>
  <si>
    <t>URFA-475a</t>
  </si>
  <si>
    <t>Urfa-475a_Consent-Harran-2023.wav</t>
  </si>
  <si>
    <t>17:59</t>
  </si>
  <si>
    <t>Urfa-476_Sheikh_Sulayman-Harran-2023.wav</t>
  </si>
  <si>
    <t>25:24</t>
  </si>
  <si>
    <t>Urfa-477_Tribes-Harran-2023.wav</t>
  </si>
  <si>
    <t>Urfa-478_Story-Harran-2023.wav</t>
  </si>
  <si>
    <t>09:27</t>
  </si>
  <si>
    <t>Urfa-479_Conversation1-Harran-2023.wav</t>
  </si>
  <si>
    <t>Urfa-480_Conversation2-Harran-2023.wav</t>
  </si>
  <si>
    <t>Urfa-481_Conversation3-Harran-2023.wav</t>
  </si>
  <si>
    <t>08:19</t>
  </si>
  <si>
    <t>Urfa-482_Conversation4-Harran-2023.wav</t>
  </si>
  <si>
    <t>06:21</t>
  </si>
  <si>
    <t>Urfa-483_Gayyat-Harran-2023.wav</t>
  </si>
  <si>
    <t>17:55</t>
  </si>
  <si>
    <t>Urfa-484_Grandfather_Women-Harran-2023.wav</t>
  </si>
  <si>
    <t>06:16</t>
  </si>
  <si>
    <t>Urfa-485_Malfuf-Harran-2023.wav</t>
  </si>
  <si>
    <t>Urfa-486_Music_in_Former_Times-Harran-2023.wav</t>
  </si>
  <si>
    <t>15:52</t>
  </si>
  <si>
    <t>Urfa-487_Story_of_a_Man-Harran-2023.wav</t>
  </si>
  <si>
    <t>33:48</t>
  </si>
  <si>
    <t>Urfa-488_Morals-Harran-2023.wav</t>
  </si>
  <si>
    <t>12:55</t>
  </si>
  <si>
    <t>Urfa-489_Former_Times-Harran-2023.wav</t>
  </si>
  <si>
    <t>Urfa-490_Short-Harran-2023.wav</t>
  </si>
  <si>
    <t>10:43</t>
  </si>
  <si>
    <t>Urfa-491_Story_of_a_Man-Harran-2023.wav</t>
  </si>
  <si>
    <t>03:54</t>
  </si>
  <si>
    <t>Urfa-492_Bedouin-Harran-2023.wav</t>
  </si>
  <si>
    <t>07:20</t>
  </si>
  <si>
    <t>Urfa-493_Proud_Woman-Harran-2023.wav</t>
  </si>
  <si>
    <t>03:35</t>
  </si>
  <si>
    <t>Urfa-494_A_Woman-Harran-2023.wav</t>
  </si>
  <si>
    <t>Urfa-495_Fishing-Harran-2023.wav</t>
  </si>
  <si>
    <t>05:29</t>
  </si>
  <si>
    <t>Urfa-496_Antara_Bin_Shaddad-Harran-2023.wav</t>
  </si>
  <si>
    <t>23:11</t>
  </si>
  <si>
    <t>Urfa-497_az-Zir_Salim-Harran-2023.wav</t>
  </si>
  <si>
    <t>20:25</t>
  </si>
  <si>
    <t>Urfa-498_Tribes_of_Jews-Harran-2023.wav</t>
  </si>
  <si>
    <t>26:39</t>
  </si>
  <si>
    <t>Urfa-499_Different_Stories-Harran-2023.wav</t>
  </si>
  <si>
    <t>11:18</t>
  </si>
  <si>
    <t>Urfa-500_A_Family-Harran-2023.wav</t>
  </si>
  <si>
    <t>Urfa-501_Former_Times-Harran-2023.wav</t>
  </si>
  <si>
    <t>Urfa-502_Short-Harran-2023.wav</t>
  </si>
  <si>
    <t>Urfa-503_A_Good_Daughter-2023.wav</t>
  </si>
  <si>
    <t>08:20</t>
  </si>
  <si>
    <t>Urfa-504_Grandchildren_People-Harran-2023.wav</t>
  </si>
  <si>
    <t>03:59</t>
  </si>
  <si>
    <t>Urfa-505_Nice_Woman-Harran-2023.wav</t>
  </si>
  <si>
    <t>Urfa-506_Deeds-Harran-2023.wav</t>
  </si>
  <si>
    <t>10:26</t>
  </si>
  <si>
    <t>Urfa-507_Families-Harran-2023.wav</t>
  </si>
  <si>
    <t>33:16</t>
  </si>
  <si>
    <t>Urfa-508_Family_History-Harran-2023.wav</t>
  </si>
  <si>
    <t>15:53</t>
  </si>
  <si>
    <t>Urfa-509_Personal_Story-Harran-2023.wav</t>
  </si>
  <si>
    <t>Urfa-510_Forgetting_Culture-Harran-2024.wav</t>
  </si>
  <si>
    <t>07:42</t>
  </si>
  <si>
    <t>Urfa-511_Cleaning-Harran-2024.wav</t>
  </si>
  <si>
    <t>12:21</t>
  </si>
  <si>
    <t>Urfa-512_Family_Members-Harran-2024.wav</t>
  </si>
  <si>
    <t>Urfa-513_Conversation-Harran-2024.wav</t>
  </si>
  <si>
    <t>Urfa-514_Mother_in_Law-Harran-2024.wav</t>
  </si>
  <si>
    <t>08:06</t>
  </si>
  <si>
    <t>Urfa-515_Personal_Life-Harran-2024.wav</t>
  </si>
  <si>
    <t>08:48</t>
  </si>
  <si>
    <t>Urfa-516_Conversations-Harran-2024.wav</t>
  </si>
  <si>
    <t>16:46</t>
  </si>
  <si>
    <t>Urfa-517_About_Family-Harran-2024.wav</t>
  </si>
  <si>
    <t>Urfa-518_Short-Harran-2024.wav</t>
  </si>
  <si>
    <t>03:41</t>
  </si>
  <si>
    <t>Urfa-519_Man_and_Meat-Harran-2024.wav</t>
  </si>
  <si>
    <t>13:31</t>
  </si>
  <si>
    <t>Urfa-520_Different_Topics-Harran-2024.wav</t>
  </si>
  <si>
    <t>Urfa-521_About_Their_Life-Harran-2024.wav</t>
  </si>
  <si>
    <t>13:04</t>
  </si>
  <si>
    <t>Urfa-522_Work-Harran-2024.wav</t>
  </si>
  <si>
    <t>Urfa-523_Getting_Married-Harran-2024.wav</t>
  </si>
  <si>
    <t>Urfa-524_About_a_woman-Harran-2024.wav</t>
  </si>
  <si>
    <t>Urfa-525_About_her_brother-Harran-2024.wav</t>
  </si>
  <si>
    <t>14:02</t>
  </si>
  <si>
    <t>Urfa-526_Self-pride-Harran-2024.wav</t>
  </si>
  <si>
    <t>Urfa-527_Conversation-Harran-2024.wav</t>
  </si>
  <si>
    <t>Urfa-528_Conversation-Harran-2024.wav</t>
  </si>
  <si>
    <t>Urfa-529_Conversation-Harran-2024.wav</t>
  </si>
  <si>
    <t>05:51</t>
  </si>
  <si>
    <t>Urfa-530-Semse_Abla-Harran-2024.wav</t>
  </si>
  <si>
    <t>Urfa-532-Ismail-Harran-2024.wav</t>
  </si>
  <si>
    <t>51:59</t>
  </si>
  <si>
    <t>Urfa-533-Village_Life-Harran-2024.wav</t>
  </si>
  <si>
    <t>Urfa-534-Ayse_Story-Harran-2024.wav</t>
  </si>
  <si>
    <t>35:25</t>
  </si>
  <si>
    <t>Urfa-536-Sheikh_Mitar-Harran-2024.wav</t>
  </si>
  <si>
    <t>Urfa-537-Haci_Mustafa-Harran-2024.wav</t>
  </si>
  <si>
    <t>01:09</t>
  </si>
  <si>
    <t>Urfa-538-Ismail_Threats-Harran-2024.wav</t>
  </si>
  <si>
    <t>Urfa-539-Amine_Doctor_Story-Harran-2024.wav</t>
  </si>
  <si>
    <t>11:05</t>
  </si>
  <si>
    <t>Urfa-540-Amine-Bastard-Harran-2024.wav</t>
  </si>
  <si>
    <t>04:39</t>
  </si>
  <si>
    <t>Urfa-541-Halime_Tribes1-Harran-2024.wav</t>
  </si>
  <si>
    <t>00:23</t>
  </si>
  <si>
    <t>Urfa-542-Halime_Bozaw_family1-Harran-2024.wav</t>
  </si>
  <si>
    <t>Urfa-543-Halime_Bozaw_family2-Harran-2024.wav</t>
  </si>
  <si>
    <t>17:12</t>
  </si>
  <si>
    <t>Urfa-544-Amine_Vater_Straw-Harran-2024.wav</t>
  </si>
  <si>
    <t>Urfa-545-Amine_Shepherds-Harran-2024.wav</t>
  </si>
  <si>
    <t>37:35</t>
  </si>
  <si>
    <t>Urfa-546-Amine_Grandmother_Soldiers-Harran-2024.wav</t>
  </si>
  <si>
    <t>17:08</t>
  </si>
  <si>
    <t>Urfa-547-Amine_Sister-Halime-Harran-2024.wav</t>
  </si>
  <si>
    <t>Urfa-548-Cemile-Cige-Harran-2024.wav</t>
  </si>
  <si>
    <t>Urfa-549-Cemile-Besh-Tash-Harran-2024.wav</t>
  </si>
  <si>
    <t>Urfa-550-Man_with_Jewish-Harran-2024.wav</t>
  </si>
  <si>
    <t>Urfa-551-Mann_with_Camels-Harran-2024.wav</t>
  </si>
  <si>
    <t>02:27</t>
  </si>
  <si>
    <t>Urfa-552-Pride-Harran-2025.wav</t>
  </si>
  <si>
    <t>Urfa-553-Money_Traditions-Harran-2025.wav</t>
  </si>
  <si>
    <t>17:32</t>
  </si>
  <si>
    <t>Urfa-554-Sick_Kid-Harran-2025.wav</t>
  </si>
  <si>
    <t>16:19</t>
  </si>
  <si>
    <t>Urfa-555-Money_People-Harran-2025.wav</t>
  </si>
  <si>
    <t>20:12</t>
  </si>
  <si>
    <t>Urfa-556-Sednaya_Prison-Harran-2025.wav</t>
  </si>
  <si>
    <t>03:46</t>
  </si>
  <si>
    <t>Urfa-557-Field-Harran-2025.wav</t>
  </si>
  <si>
    <t>Urfa-558-Taking_Money-Harran-2025.wav</t>
  </si>
  <si>
    <t>05:18</t>
  </si>
  <si>
    <t>Urfa-559-Ungrateful_Man-Harran-2025.wav</t>
  </si>
  <si>
    <t>Urfa-560-Bad_Woman-Harran-2025.wav</t>
  </si>
  <si>
    <t>15:58</t>
  </si>
  <si>
    <t>Urfa-561-Life_in_Former_Times-Harran-2025.wav</t>
  </si>
  <si>
    <t>09:06</t>
  </si>
  <si>
    <t>Urfa-562-Mouse_in_the_Ghee_Canister-Harran-2025.wav</t>
  </si>
  <si>
    <t>04:19</t>
  </si>
  <si>
    <t>Urfa-563-Grandparents-Harran-2025.wav</t>
  </si>
  <si>
    <t>13:13</t>
  </si>
  <si>
    <t>Urfa-564-Former_Times-Harran-2025.wav</t>
  </si>
  <si>
    <t>Urfa-565-Women-Harran-2025.wav</t>
  </si>
  <si>
    <t>Urfa-566-Second_Wife-Harran-2025.wav</t>
  </si>
  <si>
    <t>Urfa-567-Mother_with_Three_Kids-Harran-2025.wav</t>
  </si>
  <si>
    <t>15:35</t>
  </si>
  <si>
    <t>Urfa-568-Sick_Man-Harran-2025.wav</t>
  </si>
  <si>
    <t>17:07</t>
  </si>
  <si>
    <t>Urfa-569-Old_Times-Harran-2025.wav</t>
  </si>
  <si>
    <t>Urfa-570-Life_in_Old_Times_and_Nowadays-Harran-2025.wav</t>
  </si>
  <si>
    <t>08:51</t>
  </si>
  <si>
    <t>Urfa-571-Stories-Harran-2025.wav</t>
  </si>
  <si>
    <t>11:23</t>
  </si>
  <si>
    <t>Urfa-572-Women-Harran-2025.wav</t>
  </si>
  <si>
    <t>07:14</t>
  </si>
  <si>
    <t>Urfa-573-Medicines_While_Fasting-Harran-2025.wav</t>
  </si>
  <si>
    <t>14:55</t>
  </si>
  <si>
    <t>Urfa-574-Giving_Money-Harran-2025.wav</t>
  </si>
  <si>
    <t>Urfa-575-Generous_and_Grateful-Harran-2025.wav</t>
  </si>
  <si>
    <t>03:53</t>
  </si>
  <si>
    <t>Urfa-576-Stories-Harran-2025.wav</t>
  </si>
  <si>
    <t>Urfa-577-Time_Changed-Harran-2025.wav</t>
  </si>
  <si>
    <t>02:07</t>
  </si>
  <si>
    <t>Urfa-578-Bread_Oven-Harran-2025.wav</t>
  </si>
  <si>
    <t>18:14</t>
  </si>
  <si>
    <t>Urfa-579-Bad_Money-Harran-2025.wav</t>
  </si>
  <si>
    <t>15:14</t>
  </si>
  <si>
    <t>Urfa-580-Story_of_a_Man-Harran-2025.wav</t>
  </si>
  <si>
    <t>08:11</t>
  </si>
  <si>
    <t>Urfa-581-People_were_Healthier-Harran-2025.wav</t>
  </si>
  <si>
    <t>10:20</t>
  </si>
  <si>
    <t>Urfa-582-Doctors_Diseases-Harran-2025.wav</t>
  </si>
  <si>
    <t>19:33</t>
  </si>
  <si>
    <t>Urfa-583-Women-Harran-2025.wav</t>
  </si>
  <si>
    <t>Urfa-584-Family_Members-Harran-2025.wav</t>
  </si>
  <si>
    <t>17:58</t>
  </si>
  <si>
    <t>Urfa-585-Family_Issues-Harran-2025.wav</t>
  </si>
  <si>
    <t>08:28</t>
  </si>
  <si>
    <t>Urfa-586-Donkey-Harran-2025.wav</t>
  </si>
  <si>
    <t>11:45</t>
  </si>
  <si>
    <t>Urfa-587-Syrians-Harran-2025.wav</t>
  </si>
  <si>
    <t>04:36</t>
  </si>
  <si>
    <t>Urfa-588-Snake-Harran-2025.wav</t>
  </si>
  <si>
    <t>12:32</t>
  </si>
  <si>
    <t>Urfa-589-Personal_Story-Harran-2025.wav</t>
  </si>
  <si>
    <t>Urfa-590-Woman-Harran-2025.wav</t>
  </si>
  <si>
    <t>01:56</t>
  </si>
  <si>
    <t>Urfa-591-Conversation-Harran-2025.wav</t>
  </si>
  <si>
    <t>Urfa-592-Idiom-Harran-2025.wav</t>
  </si>
  <si>
    <t>Urfa-593-Men_Types-Harran-2025.wav</t>
  </si>
  <si>
    <t>Urfa-594-Prophet_Ibrahim-Harran-2025.wav</t>
  </si>
  <si>
    <t>06:43</t>
  </si>
  <si>
    <t>Urfa-595-Cain_and_Abel-Harran-2025.wav</t>
  </si>
  <si>
    <t>Urfa-596-Story_of_Creation-Harran-2025.wav</t>
  </si>
  <si>
    <t>13:01</t>
  </si>
  <si>
    <t>Urfa-597-Marrying_four_Women-Harran-2025.wav</t>
  </si>
  <si>
    <t>Urfa-598-Excuse_Bahane-Harran-2025.wav</t>
  </si>
  <si>
    <t>18:51</t>
  </si>
  <si>
    <t>Urfa-599-Driving_License-Harran-2025.wav</t>
  </si>
  <si>
    <t>Urfa-600-Cradle-Harran-2025.wav</t>
  </si>
  <si>
    <t>21:49</t>
  </si>
  <si>
    <t>Urfa-601-Death_Neighbour_Maaruf-Harran-2025.wav</t>
  </si>
  <si>
    <t>Urfa-602-Hamaye_Kinship_Terms-Harran-2025.wav</t>
  </si>
  <si>
    <t>07:51</t>
  </si>
  <si>
    <t>Urfa-603-Maarufs_Mother-Harran-2025.wav</t>
  </si>
  <si>
    <t>03:44</t>
  </si>
  <si>
    <t>Urfa-604-Genealogy_Women-Harran-2025.wav</t>
  </si>
  <si>
    <t>24:11</t>
  </si>
  <si>
    <t>Urfa-605-Amine_Life_Story_I_Grandmother-Harran-2025.wav</t>
  </si>
  <si>
    <t>23:50</t>
  </si>
  <si>
    <t>Urfa-606-Amine_Life_Story_II_Mother-Harran-2025.wav</t>
  </si>
  <si>
    <t>16:57</t>
  </si>
  <si>
    <t>Urfa-607-Amine_Life_Story_III_Father_Childhood-Harran-2025.wav</t>
  </si>
  <si>
    <t>32:15</t>
  </si>
  <si>
    <t>Urfa-608-Amine_Life_Story_IV_Sister_Halime-Harran-2025.wav</t>
  </si>
  <si>
    <t>09:56</t>
  </si>
  <si>
    <t>Urfa-609-Amine_Life_Story_V_Sister_Miriam-Harran-2025.wav</t>
  </si>
  <si>
    <t>34:39</t>
  </si>
  <si>
    <t>Urfa-610-Amine_Life_Story_VI_Sister_Fatima-Harran-2025.wav</t>
  </si>
  <si>
    <t>47:38</t>
  </si>
  <si>
    <t>Urfa-611-Amine_Life_Story_VII_First_Years_of_Marriage-Harran-2025.wav</t>
  </si>
  <si>
    <t>12:15</t>
  </si>
  <si>
    <t>Urfa-612-Three_Advices-Harran-2025.wav</t>
  </si>
  <si>
    <t>Urfa-613-Conversation-Harran-2026.wav</t>
  </si>
  <si>
    <t>02:17</t>
  </si>
  <si>
    <t>Urfa-614-A_Girl-Harran-2026.wav</t>
  </si>
  <si>
    <t>URFA-615</t>
  </si>
  <si>
    <t>06:33</t>
  </si>
  <si>
    <t>Urfa-615-A_Man_Wants_To_Marry-Harran-2026.wav</t>
  </si>
  <si>
    <t>Gender</t>
  </si>
  <si>
    <t>Year of Birth</t>
  </si>
  <si>
    <t>Languages</t>
  </si>
  <si>
    <t>Place of Origin</t>
  </si>
  <si>
    <t>Recordings</t>
  </si>
  <si>
    <t>Ceylanpinar01</t>
  </si>
  <si>
    <t>M</t>
  </si>
  <si>
    <t>HHI</t>
  </si>
  <si>
    <t>Ceylanpinar02</t>
  </si>
  <si>
    <t>SHMA</t>
  </si>
  <si>
    <t>Ceylanpinar03</t>
  </si>
  <si>
    <t>SHMI</t>
  </si>
  <si>
    <t>Ceylanpinar04</t>
  </si>
  <si>
    <t>IHI</t>
  </si>
  <si>
    <t>Ceylanpinar05</t>
  </si>
  <si>
    <t>HAB</t>
  </si>
  <si>
    <t>Harran01</t>
  </si>
  <si>
    <t>Harran02</t>
  </si>
  <si>
    <t>Harran03</t>
  </si>
  <si>
    <t>F</t>
  </si>
  <si>
    <t>EM</t>
  </si>
  <si>
    <t>Harran04</t>
  </si>
  <si>
    <t>EMM</t>
  </si>
  <si>
    <t>Harran05</t>
  </si>
  <si>
    <t>GSH</t>
  </si>
  <si>
    <t>Harran06</t>
  </si>
  <si>
    <t>HB</t>
  </si>
  <si>
    <t>Harran07</t>
  </si>
  <si>
    <t>MB</t>
  </si>
  <si>
    <t>Harran08</t>
  </si>
  <si>
    <t>HA</t>
  </si>
  <si>
    <t>Harran09</t>
  </si>
  <si>
    <t>AH</t>
  </si>
  <si>
    <t>Harran10</t>
  </si>
  <si>
    <t>K</t>
  </si>
  <si>
    <t>Harran11</t>
  </si>
  <si>
    <t>BM</t>
  </si>
  <si>
    <t>Harran12</t>
  </si>
  <si>
    <t>UNK</t>
  </si>
  <si>
    <t>Harran13</t>
  </si>
  <si>
    <t>UNW</t>
  </si>
  <si>
    <t>Harran14</t>
  </si>
  <si>
    <t>S</t>
  </si>
  <si>
    <t>Harran15</t>
  </si>
  <si>
    <t>YM</t>
  </si>
  <si>
    <t>Harran16</t>
  </si>
  <si>
    <t>ZS</t>
  </si>
  <si>
    <t>Harran17</t>
  </si>
  <si>
    <t>MCH</t>
  </si>
  <si>
    <t>Harran18</t>
  </si>
  <si>
    <t>HT</t>
  </si>
  <si>
    <t>Harran19</t>
  </si>
  <si>
    <t>IEB</t>
  </si>
  <si>
    <t>Harran20</t>
  </si>
  <si>
    <t>HAM</t>
  </si>
  <si>
    <t>Harran21</t>
  </si>
  <si>
    <t>SMT</t>
  </si>
  <si>
    <t>Harran22</t>
  </si>
  <si>
    <t>HMS</t>
  </si>
  <si>
    <t>Harran23</t>
  </si>
  <si>
    <t>CB</t>
  </si>
  <si>
    <t>Harran24</t>
  </si>
  <si>
    <t>UGM</t>
  </si>
  <si>
    <t>Harran25</t>
  </si>
  <si>
    <t>EA</t>
  </si>
  <si>
    <t>Harran26</t>
  </si>
  <si>
    <t>ST</t>
  </si>
  <si>
    <t>Harran27</t>
  </si>
  <si>
    <t>FA</t>
  </si>
  <si>
    <t>Harran28</t>
  </si>
  <si>
    <t>FUL</t>
  </si>
  <si>
    <t>Harran29</t>
  </si>
  <si>
    <t>HAS</t>
  </si>
  <si>
    <t>Harran30</t>
  </si>
  <si>
    <t>CEB</t>
  </si>
  <si>
    <t>Harran31</t>
  </si>
  <si>
    <t>HEM</t>
  </si>
  <si>
    <t>Mezra01</t>
  </si>
  <si>
    <t>AD</t>
  </si>
  <si>
    <t>Mezra02</t>
  </si>
  <si>
    <t>MME</t>
  </si>
  <si>
    <t>Mezra03</t>
  </si>
  <si>
    <t>RD</t>
  </si>
  <si>
    <t>SiverekM</t>
  </si>
  <si>
    <t>SM</t>
  </si>
  <si>
    <t>Syria01</t>
  </si>
  <si>
    <t>Syria02</t>
  </si>
  <si>
    <t>Syria</t>
  </si>
  <si>
    <t>AB</t>
  </si>
  <si>
    <t>Syria03</t>
  </si>
  <si>
    <t>AA</t>
  </si>
  <si>
    <t>Syria04</t>
  </si>
  <si>
    <t>AJ</t>
  </si>
  <si>
    <t>Syria05</t>
  </si>
  <si>
    <t>AAH</t>
  </si>
  <si>
    <t>Syria06</t>
  </si>
  <si>
    <t>AQ</t>
  </si>
  <si>
    <t>Syria07</t>
  </si>
  <si>
    <t>HM</t>
  </si>
  <si>
    <t>Syria08</t>
  </si>
  <si>
    <t>SO</t>
  </si>
  <si>
    <t>Syria09</t>
  </si>
  <si>
    <t>AHM</t>
  </si>
  <si>
    <t>Syria10</t>
  </si>
  <si>
    <t>MGU</t>
  </si>
  <si>
    <t>Syria11</t>
  </si>
  <si>
    <t>MG</t>
  </si>
  <si>
    <t>Syria12</t>
  </si>
  <si>
    <t>AI</t>
  </si>
  <si>
    <t>Syria13</t>
  </si>
  <si>
    <t>AO</t>
  </si>
  <si>
    <t>Syria14</t>
  </si>
  <si>
    <t>AAR</t>
  </si>
  <si>
    <t>TallShnan01</t>
  </si>
  <si>
    <t>TallShnan02</t>
  </si>
  <si>
    <t>HL</t>
  </si>
  <si>
    <t>TallShnan03</t>
  </si>
  <si>
    <t>SHH</t>
  </si>
  <si>
    <t>TallXarma01</t>
  </si>
  <si>
    <t>MLB</t>
  </si>
  <si>
    <t>Urfa01</t>
  </si>
  <si>
    <t>HS</t>
  </si>
  <si>
    <t>Urfa02</t>
  </si>
  <si>
    <t>HCH</t>
  </si>
  <si>
    <t>Urfa03</t>
  </si>
  <si>
    <t>IS</t>
  </si>
  <si>
    <t>Yusufkoyu01</t>
  </si>
  <si>
    <t>SA</t>
  </si>
  <si>
    <t>Ziyara01</t>
  </si>
  <si>
    <t>IB</t>
  </si>
  <si>
    <t>Ziyara02</t>
  </si>
  <si>
    <t>MHH</t>
  </si>
  <si>
    <t>Ziyara03</t>
  </si>
  <si>
    <t>IBF</t>
  </si>
  <si>
    <t>Recording</t>
  </si>
  <si>
    <t>URFA-024</t>
  </si>
  <si>
    <t>URFA-069</t>
  </si>
  <si>
    <t>URFA-077</t>
  </si>
  <si>
    <t>Label</t>
  </si>
  <si>
    <t>Definition</t>
  </si>
  <si>
    <t>3 Brothers</t>
  </si>
  <si>
    <t>A Bedouin</t>
  </si>
  <si>
    <t>A Fight</t>
  </si>
  <si>
    <t>A Friend's Marriage</t>
  </si>
  <si>
    <t>A Girl</t>
  </si>
  <si>
    <t>A Jew Visiting Moses</t>
  </si>
  <si>
    <t>A Kurd</t>
  </si>
  <si>
    <t>A Laughing Girl</t>
  </si>
  <si>
    <t>A Man</t>
  </si>
  <si>
    <t xml:space="preserve">A Man Who Emigrated </t>
  </si>
  <si>
    <t>A Man Who Wants To Get Married</t>
  </si>
  <si>
    <t>A Man's Story</t>
  </si>
  <si>
    <t>A Mother with 3 Daughters</t>
  </si>
  <si>
    <t>A Nice Woman</t>
  </si>
  <si>
    <t>A Sheikh's son</t>
  </si>
  <si>
    <t>A Short Story</t>
  </si>
  <si>
    <t>A Woman</t>
  </si>
  <si>
    <t>Abdalqadir</t>
  </si>
  <si>
    <t>Abdarrahman bin Awf</t>
  </si>
  <si>
    <t>About a Family</t>
  </si>
  <si>
    <t>About luck</t>
  </si>
  <si>
    <t>About People</t>
  </si>
  <si>
    <t>About Stories</t>
  </si>
  <si>
    <t>About their life</t>
  </si>
  <si>
    <t>Abu al-Adas</t>
  </si>
  <si>
    <t>Abu Bakir</t>
  </si>
  <si>
    <t>Adam</t>
  </si>
  <si>
    <t>Adwan Tribe and Fighting with Ibrahim Pasa</t>
  </si>
  <si>
    <t>Afraid of the Dog</t>
  </si>
  <si>
    <t>Against the Evil Eye</t>
  </si>
  <si>
    <t>Agriculture</t>
  </si>
  <si>
    <t>Al-Aeleki</t>
  </si>
  <si>
    <t>Al-Ftile</t>
  </si>
  <si>
    <t>Al-Hamis</t>
  </si>
  <si>
    <t>Al-Handaq</t>
  </si>
  <si>
    <t>Al-Higit</t>
  </si>
  <si>
    <t>Ali</t>
  </si>
  <si>
    <t>Al-Mangusa</t>
  </si>
  <si>
    <t>Al-Milliyye</t>
  </si>
  <si>
    <t>Al-Nawagih</t>
  </si>
  <si>
    <t>Al-'Niz Tribe</t>
  </si>
  <si>
    <t>Al-Shukwa</t>
  </si>
  <si>
    <t>Al-Xabur</t>
  </si>
  <si>
    <t>Al-Xumea</t>
  </si>
  <si>
    <t>Animals</t>
  </si>
  <si>
    <t>Antara Bin Shaddad</t>
  </si>
  <si>
    <t xml:space="preserve">Appreciating Things More in Former Times </t>
  </si>
  <si>
    <t>Arab Alyan</t>
  </si>
  <si>
    <t>Arab Countries</t>
  </si>
  <si>
    <t>Arab Leaders</t>
  </si>
  <si>
    <t>Arab Soup</t>
  </si>
  <si>
    <t>Arab Tribes</t>
  </si>
  <si>
    <t>Arabic Kebab</t>
  </si>
  <si>
    <t>Arabic Language</t>
  </si>
  <si>
    <t>Arabs</t>
  </si>
  <si>
    <t>Armenians</t>
  </si>
  <si>
    <t>Arrival from Syria</t>
  </si>
  <si>
    <t>Arriving in Urfa</t>
  </si>
  <si>
    <t>Ar-Rshedi</t>
  </si>
  <si>
    <t>Ashure</t>
  </si>
  <si>
    <t>Asking a Girl's Hand</t>
  </si>
  <si>
    <t>As-Sayyid</t>
  </si>
  <si>
    <t>Ataturk</t>
  </si>
  <si>
    <t>Back ups in Fights</t>
  </si>
  <si>
    <t>Bad Manners</t>
  </si>
  <si>
    <t>Bad Money</t>
  </si>
  <si>
    <t>Bad Woman</t>
  </si>
  <si>
    <t>Bags</t>
  </si>
  <si>
    <t>Baking Bread</t>
  </si>
  <si>
    <t xml:space="preserve">Bala Gafi (formal expression) </t>
  </si>
  <si>
    <t>Bamya</t>
  </si>
  <si>
    <t>Bani Hilal</t>
  </si>
  <si>
    <t>Bastard</t>
  </si>
  <si>
    <t>Bastig</t>
  </si>
  <si>
    <t>Bastirma</t>
  </si>
  <si>
    <t>Beating Up Syrians</t>
  </si>
  <si>
    <t>Bedouins</t>
  </si>
  <si>
    <t>Being a Sayyid</t>
  </si>
  <si>
    <t>Being a Shepherd</t>
  </si>
  <si>
    <t>Being Generous</t>
  </si>
  <si>
    <t>Being Grateful</t>
  </si>
  <si>
    <t>Being Proud</t>
  </si>
  <si>
    <t>Besh Tash Game</t>
  </si>
  <si>
    <t>Bidile</t>
  </si>
  <si>
    <t>Bike</t>
  </si>
  <si>
    <t>Bilqis</t>
  </si>
  <si>
    <t>Bird</t>
  </si>
  <si>
    <t>Biyat</t>
  </si>
  <si>
    <t>Blood Feud</t>
  </si>
  <si>
    <t>Borders</t>
  </si>
  <si>
    <t>Bozaw Family</t>
  </si>
  <si>
    <t>Brave Man</t>
  </si>
  <si>
    <t>Bread for Syrians</t>
  </si>
  <si>
    <t>Bread Oven</t>
  </si>
  <si>
    <t>Bribing</t>
  </si>
  <si>
    <t>Broker</t>
  </si>
  <si>
    <t>B-sagti</t>
  </si>
  <si>
    <t>Bull</t>
  </si>
  <si>
    <t>Burglars from Syria</t>
  </si>
  <si>
    <t>Burgul</t>
  </si>
  <si>
    <t xml:space="preserve">Burying </t>
  </si>
  <si>
    <t>Butchering a Sheep</t>
  </si>
  <si>
    <t>Cain and Abel</t>
  </si>
  <si>
    <t>Camel</t>
  </si>
  <si>
    <t>Camel Milk</t>
  </si>
  <si>
    <t>Car at the Wedding</t>
  </si>
  <si>
    <t>Carriage</t>
  </si>
  <si>
    <t>Caves</t>
  </si>
  <si>
    <t>Cemeteries</t>
  </si>
  <si>
    <t>Chasing Women</t>
  </si>
  <si>
    <t>Cheap stepmother</t>
  </si>
  <si>
    <t>Cheapness</t>
  </si>
  <si>
    <t>Cheating</t>
  </si>
  <si>
    <t>Chicken</t>
  </si>
  <si>
    <t>Childhood</t>
  </si>
  <si>
    <t>Childhood Stories</t>
  </si>
  <si>
    <t>Children</t>
  </si>
  <si>
    <t>Children Singing</t>
  </si>
  <si>
    <t>Children's Burial</t>
  </si>
  <si>
    <t>Cig kofte</t>
  </si>
  <si>
    <t>cige</t>
  </si>
  <si>
    <t>Cleaning</t>
  </si>
  <si>
    <t>Clothes</t>
  </si>
  <si>
    <t>Coffee</t>
  </si>
  <si>
    <t>College Days</t>
  </si>
  <si>
    <t>Comparison between Syria and Turkey</t>
  </si>
  <si>
    <t>Condolences</t>
  </si>
  <si>
    <t>Conflicts</t>
  </si>
  <si>
    <t>Consent</t>
  </si>
  <si>
    <t>Conversation</t>
  </si>
  <si>
    <t>Conversations</t>
  </si>
  <si>
    <t>Corn</t>
  </si>
  <si>
    <t>Costs</t>
  </si>
  <si>
    <t>Cotton</t>
  </si>
  <si>
    <t>Cotton Business</t>
  </si>
  <si>
    <t>Cotton Crop</t>
  </si>
  <si>
    <t>Cotton Straw</t>
  </si>
  <si>
    <t>Counting</t>
  </si>
  <si>
    <t>Counting Grandfathers</t>
  </si>
  <si>
    <t>Countries</t>
  </si>
  <si>
    <t>Cousin's Veto</t>
  </si>
  <si>
    <t>Cradle</t>
  </si>
  <si>
    <t>Cross Marriage</t>
  </si>
  <si>
    <t>Crossing the Borders</t>
  </si>
  <si>
    <t>Cultivation</t>
  </si>
  <si>
    <t>Current situation</t>
  </si>
  <si>
    <t>Dancing</t>
  </si>
  <si>
    <t>Dariba</t>
  </si>
  <si>
    <t>Dayan Mosque</t>
  </si>
  <si>
    <t>Death</t>
  </si>
  <si>
    <t>Deeds</t>
  </si>
  <si>
    <t>Demons</t>
  </si>
  <si>
    <t>Derwishes</t>
  </si>
  <si>
    <t>Describing a House</t>
  </si>
  <si>
    <t xml:space="preserve">Different Stories </t>
  </si>
  <si>
    <t>Different topics</t>
  </si>
  <si>
    <t>Dinner</t>
  </si>
  <si>
    <t>Diseases in Former Times</t>
  </si>
  <si>
    <t>Doctor Story</t>
  </si>
  <si>
    <t>Doctors</t>
  </si>
  <si>
    <t>Doing Business</t>
  </si>
  <si>
    <t>Donkey</t>
  </si>
  <si>
    <t>Donkeys</t>
  </si>
  <si>
    <t>Dream</t>
  </si>
  <si>
    <t>Driving</t>
  </si>
  <si>
    <t>Driving Licence</t>
  </si>
  <si>
    <t>Drying Peppers</t>
  </si>
  <si>
    <t>Dudek Tribe</t>
  </si>
  <si>
    <t>Earthquake</t>
  </si>
  <si>
    <t>Earthquakes</t>
  </si>
  <si>
    <t>Eating</t>
  </si>
  <si>
    <t>Eating Fruits</t>
  </si>
  <si>
    <t>Eid</t>
  </si>
  <si>
    <t>Eid Al-Adha</t>
  </si>
  <si>
    <t>Eid Ramadan</t>
  </si>
  <si>
    <t>Electricity</t>
  </si>
  <si>
    <t>Engagement</t>
  </si>
  <si>
    <t>Erdogan</t>
  </si>
  <si>
    <t>Escaping from Syria</t>
  </si>
  <si>
    <t xml:space="preserve">Escaping to Syria </t>
  </si>
  <si>
    <t>Euphrate's Flooding</t>
  </si>
  <si>
    <t>Excuse</t>
  </si>
  <si>
    <t>Fairness</t>
  </si>
  <si>
    <t>Fake Sheikhs</t>
  </si>
  <si>
    <t>Families</t>
  </si>
  <si>
    <t>Family</t>
  </si>
  <si>
    <t>Family History</t>
  </si>
  <si>
    <t>Family Issues</t>
  </si>
  <si>
    <t>Family Members</t>
  </si>
  <si>
    <t>Family of Ashur</t>
  </si>
  <si>
    <t>Family Problems</t>
  </si>
  <si>
    <t>Family Story</t>
  </si>
  <si>
    <t>Fasting</t>
  </si>
  <si>
    <t>Father</t>
  </si>
  <si>
    <t>Father and Donkey</t>
  </si>
  <si>
    <t>Father Straw</t>
  </si>
  <si>
    <t>Fathers</t>
  </si>
  <si>
    <t>Fatima</t>
  </si>
  <si>
    <t>Fight with Syrians</t>
  </si>
  <si>
    <t>Fights among Tribes</t>
  </si>
  <si>
    <t>First Years of marriage</t>
  </si>
  <si>
    <t>Fishing</t>
  </si>
  <si>
    <t>Flood</t>
  </si>
  <si>
    <t>Food</t>
  </si>
  <si>
    <t xml:space="preserve">Food in Former Times </t>
  </si>
  <si>
    <t>Forgetting Arabic Culture</t>
  </si>
  <si>
    <t>Forgetting Things</t>
  </si>
  <si>
    <t>Formal</t>
  </si>
  <si>
    <t>Former Times</t>
  </si>
  <si>
    <t>Fornication</t>
  </si>
  <si>
    <t>Friends</t>
  </si>
  <si>
    <t>Gam</t>
  </si>
  <si>
    <t>Game</t>
  </si>
  <si>
    <t>Game Ad-Drah</t>
  </si>
  <si>
    <t>Game Al-Hora</t>
  </si>
  <si>
    <t>Game Az-Zagta</t>
  </si>
  <si>
    <t>Game Dorbis</t>
  </si>
  <si>
    <t>Games</t>
  </si>
  <si>
    <t>Gamra</t>
  </si>
  <si>
    <t>Gayfe</t>
  </si>
  <si>
    <t>Gayyat</t>
  </si>
  <si>
    <t>Gazelles</t>
  </si>
  <si>
    <t>Generosity</t>
  </si>
  <si>
    <t>Generosity among Friends</t>
  </si>
  <si>
    <t>Generous Man</t>
  </si>
  <si>
    <t>Getting Caught</t>
  </si>
  <si>
    <t>Getting Lost</t>
  </si>
  <si>
    <t>Getting married</t>
  </si>
  <si>
    <t>Giving Money</t>
  </si>
  <si>
    <t>Giving Money to People in Need</t>
  </si>
  <si>
    <t>God and Poor people</t>
  </si>
  <si>
    <t>God's Greatness</t>
  </si>
  <si>
    <t>God's Mercy</t>
  </si>
  <si>
    <t>God's Wisdom</t>
  </si>
  <si>
    <t>Gold</t>
  </si>
  <si>
    <t>Good Daughter</t>
  </si>
  <si>
    <t>Good Deeds</t>
  </si>
  <si>
    <t>Good Women</t>
  </si>
  <si>
    <t>Government</t>
  </si>
  <si>
    <t>Grandchildren</t>
  </si>
  <si>
    <t>Grandfather</t>
  </si>
  <si>
    <t>Grandmother</t>
  </si>
  <si>
    <t>Grandparents</t>
  </si>
  <si>
    <t>Groundfield</t>
  </si>
  <si>
    <t>Gumeli Tribe</t>
  </si>
  <si>
    <t>Hagg Ali</t>
  </si>
  <si>
    <t>Harvesting</t>
  </si>
  <si>
    <t>Hawashi</t>
  </si>
  <si>
    <t>Hayat al-Harrani</t>
  </si>
  <si>
    <t>Heading to Germany</t>
  </si>
  <si>
    <t>Healing Water</t>
  </si>
  <si>
    <t>Health</t>
  </si>
  <si>
    <t>Hen House</t>
  </si>
  <si>
    <t>Her brother</t>
  </si>
  <si>
    <t>His Friend Baqir</t>
  </si>
  <si>
    <t>History</t>
  </si>
  <si>
    <t>Home Furnishings</t>
  </si>
  <si>
    <t>Honey Salesman</t>
  </si>
  <si>
    <t>Horses</t>
  </si>
  <si>
    <t>Hospitality</t>
  </si>
  <si>
    <t>Householder</t>
  </si>
  <si>
    <t>Hunger</t>
  </si>
  <si>
    <t>Husband's Second Wife</t>
  </si>
  <si>
    <t>Ibrahim Pasha</t>
  </si>
  <si>
    <t>Icli kofte</t>
  </si>
  <si>
    <t>Igli Tribe</t>
  </si>
  <si>
    <t>Importance of Knowledge</t>
  </si>
  <si>
    <t>Importance of Memory</t>
  </si>
  <si>
    <t>Importance of Tee</t>
  </si>
  <si>
    <t>In Ras al-Ain</t>
  </si>
  <si>
    <t>Incomplete Meal</t>
  </si>
  <si>
    <t>Introducing</t>
  </si>
  <si>
    <t>Invading Bedouins</t>
  </si>
  <si>
    <t>Istishara</t>
  </si>
  <si>
    <t>Jaber al-Ansari</t>
  </si>
  <si>
    <t>Jews</t>
  </si>
  <si>
    <t>Jinn</t>
  </si>
  <si>
    <t>Jokes</t>
  </si>
  <si>
    <t>Kazan Kebab</t>
  </si>
  <si>
    <t>King Faisal</t>
  </si>
  <si>
    <t>Kinship Terms</t>
  </si>
  <si>
    <t>Kontorcu</t>
  </si>
  <si>
    <t>Kurban Eid</t>
  </si>
  <si>
    <t>Kurds</t>
  </si>
  <si>
    <t>Lahmacun</t>
  </si>
  <si>
    <t>Lands</t>
  </si>
  <si>
    <t>Language</t>
  </si>
  <si>
    <t>Large Bird</t>
  </si>
  <si>
    <t>Lentils</t>
  </si>
  <si>
    <t>leprosy</t>
  </si>
  <si>
    <t>Life</t>
  </si>
  <si>
    <t>Life in former Times</t>
  </si>
  <si>
    <t>Life of the Tribe in Former Times</t>
  </si>
  <si>
    <t>Life Story</t>
  </si>
  <si>
    <t>Life Story of Father</t>
  </si>
  <si>
    <t>Life Story of Grandmother</t>
  </si>
  <si>
    <t>Life Story of Mother</t>
  </si>
  <si>
    <t>Life Story of Sister</t>
  </si>
  <si>
    <t>Lightning</t>
  </si>
  <si>
    <t>Liquorice</t>
  </si>
  <si>
    <t>Liras</t>
  </si>
  <si>
    <t>Local Arabs</t>
  </si>
  <si>
    <t>Looking for a Wife</t>
  </si>
  <si>
    <t>Lost Manners</t>
  </si>
  <si>
    <t>Lovers</t>
  </si>
  <si>
    <t>Lying Man</t>
  </si>
  <si>
    <t>Making salcha</t>
  </si>
  <si>
    <t>Making Sandwitches</t>
  </si>
  <si>
    <t>Malfuf</t>
  </si>
  <si>
    <t>Malfuf Recipe</t>
  </si>
  <si>
    <t>Man and Meat</t>
  </si>
  <si>
    <t>Man from Tall Xarma</t>
  </si>
  <si>
    <t>Man in Mecca</t>
  </si>
  <si>
    <t>Man on a Hunt Journey</t>
  </si>
  <si>
    <t>Man Taking Money</t>
  </si>
  <si>
    <t>Man with Camels</t>
  </si>
  <si>
    <t>Man with Jews</t>
  </si>
  <si>
    <t>Manners</t>
  </si>
  <si>
    <t>Marriage in Former Times</t>
  </si>
  <si>
    <t>Marriage in Former Times and Nowadays</t>
  </si>
  <si>
    <t xml:space="preserve">Marriage Prank </t>
  </si>
  <si>
    <t>Marrying four Women</t>
  </si>
  <si>
    <t>Marrying from an Elder Family</t>
  </si>
  <si>
    <t>Marrying Russian and Syrian Women</t>
  </si>
  <si>
    <t>Maternal Uncles</t>
  </si>
  <si>
    <t>Medicines</t>
  </si>
  <si>
    <t>Men</t>
  </si>
  <si>
    <t>Men Types</t>
  </si>
  <si>
    <t>Military</t>
  </si>
  <si>
    <t>Military Times</t>
  </si>
  <si>
    <t>Milk</t>
  </si>
  <si>
    <t>Milk Bread</t>
  </si>
  <si>
    <t>Money</t>
  </si>
  <si>
    <t>Morals</t>
  </si>
  <si>
    <t>Moses</t>
  </si>
  <si>
    <t>Moses and his Neighbor</t>
  </si>
  <si>
    <t>Moses and the Mangy Dog</t>
  </si>
  <si>
    <t>Moses and the Old woman</t>
  </si>
  <si>
    <t>Moses and the Rain</t>
  </si>
  <si>
    <t>Moses and the Woman</t>
  </si>
  <si>
    <t>Moses Spreading Livelihood</t>
  </si>
  <si>
    <t>Moshe Dayan</t>
  </si>
  <si>
    <t>Mother in law</t>
  </si>
  <si>
    <t>Mother Tongue</t>
  </si>
  <si>
    <t>Motor</t>
  </si>
  <si>
    <t>Mouse in the Ghee Canister</t>
  </si>
  <si>
    <t>Moving to Lebanon</t>
  </si>
  <si>
    <t>Moving to Saudi Arabia</t>
  </si>
  <si>
    <t>Music</t>
  </si>
  <si>
    <t>Muslim's Conquest</t>
  </si>
  <si>
    <t>Name Engraving</t>
  </si>
  <si>
    <t>Names of Sheep</t>
  </si>
  <si>
    <t>Neighboor</t>
  </si>
  <si>
    <t>Neighbour's Death</t>
  </si>
  <si>
    <t>Neighbour's Mother</t>
  </si>
  <si>
    <t>Nfaradha</t>
  </si>
  <si>
    <t>Nifil</t>
  </si>
  <si>
    <t>Nimr Ibn Adwan</t>
  </si>
  <si>
    <t>Nimrod</t>
  </si>
  <si>
    <t>Non-Arab Bedouins</t>
  </si>
  <si>
    <t>Not Being Able to Go Out</t>
  </si>
  <si>
    <t>Numbers</t>
  </si>
  <si>
    <t>Old Houses</t>
  </si>
  <si>
    <t>Old Man</t>
  </si>
  <si>
    <t>Old Man and the Wezir</t>
  </si>
  <si>
    <t>Old Times</t>
  </si>
  <si>
    <t>Old Wars</t>
  </si>
  <si>
    <t>Origin of the Tribe</t>
  </si>
  <si>
    <t>Ottoman in England</t>
  </si>
  <si>
    <t>Ottomans</t>
  </si>
  <si>
    <t>Outlaw</t>
  </si>
  <si>
    <t>Own Kids</t>
  </si>
  <si>
    <t>Own Tribe</t>
  </si>
  <si>
    <t>Paradigm Rukba</t>
  </si>
  <si>
    <t>Pasha</t>
  </si>
  <si>
    <t>Pasha's Good Deed</t>
  </si>
  <si>
    <t>Path to Austria</t>
  </si>
  <si>
    <t>People</t>
  </si>
  <si>
    <t>People from Former Times</t>
  </si>
  <si>
    <t>People of Lut</t>
  </si>
  <si>
    <t>People were Healthier</t>
  </si>
  <si>
    <t>People who know a lot</t>
  </si>
  <si>
    <t>Personal Life</t>
  </si>
  <si>
    <t>Personal Marriage Story</t>
  </si>
  <si>
    <t>Personal Story</t>
  </si>
  <si>
    <t>Phone Call</t>
  </si>
  <si>
    <t>Pigeon Breeding</t>
  </si>
  <si>
    <t>Plants</t>
  </si>
  <si>
    <t>Playing Cards</t>
  </si>
  <si>
    <t>Politics</t>
  </si>
  <si>
    <t>Priapism</t>
  </si>
  <si>
    <t>Prison</t>
  </si>
  <si>
    <t>Profession</t>
  </si>
  <si>
    <t>Prophet and the Snake</t>
  </si>
  <si>
    <t>Prophet Ayyub</t>
  </si>
  <si>
    <t>Prophet Comrade</t>
  </si>
  <si>
    <t>Prophet Ibrahim</t>
  </si>
  <si>
    <t>Prophet Suleyman</t>
  </si>
  <si>
    <t>Prophet Yusuf</t>
  </si>
  <si>
    <t>Prophets</t>
  </si>
  <si>
    <t>Prophet's Miracles</t>
  </si>
  <si>
    <t>Proud Woman</t>
  </si>
  <si>
    <t>Proverb</t>
  </si>
  <si>
    <t>Punishment for Fornication</t>
  </si>
  <si>
    <t>Purification</t>
  </si>
  <si>
    <t>Qasida</t>
  </si>
  <si>
    <t>Qasida on Saddam Hussein</t>
  </si>
  <si>
    <t>Question</t>
  </si>
  <si>
    <t>Questionnaire</t>
  </si>
  <si>
    <t>Quilts</t>
  </si>
  <si>
    <t>Raids in the Past</t>
  </si>
  <si>
    <t>Reaching Austria</t>
  </si>
  <si>
    <t>Reaching Urfa</t>
  </si>
  <si>
    <t>Real Friend</t>
  </si>
  <si>
    <t>Reason for Recording</t>
  </si>
  <si>
    <t>Refugee</t>
  </si>
  <si>
    <t>Relations to other Tribes</t>
  </si>
  <si>
    <t>Rich and Cheap People</t>
  </si>
  <si>
    <t>River</t>
  </si>
  <si>
    <t>Rizwan Pasha</t>
  </si>
  <si>
    <t>Rocks</t>
  </si>
  <si>
    <t>Sacks</t>
  </si>
  <si>
    <t>Salaries</t>
  </si>
  <si>
    <t>Salim az-Zir</t>
  </si>
  <si>
    <t>Saudi Tribe</t>
  </si>
  <si>
    <t>School</t>
  </si>
  <si>
    <t>School Days</t>
  </si>
  <si>
    <t>Seasonal Crop</t>
  </si>
  <si>
    <t>Seasonal fruits</t>
  </si>
  <si>
    <t>Seasonal Work</t>
  </si>
  <si>
    <t>Second Marriage</t>
  </si>
  <si>
    <t>Second Wife</t>
  </si>
  <si>
    <t>Sednaya Prison</t>
  </si>
  <si>
    <t>Self-pride</t>
  </si>
  <si>
    <t>Selling Houses</t>
  </si>
  <si>
    <t>Seyhmus</t>
  </si>
  <si>
    <t>Shammar</t>
  </si>
  <si>
    <t>Shawi</t>
  </si>
  <si>
    <t>Shaytan</t>
  </si>
  <si>
    <t>Sheep</t>
  </si>
  <si>
    <t>Sheikh</t>
  </si>
  <si>
    <t>Sheikh Hasan and the Snake</t>
  </si>
  <si>
    <t>Sheikh Hayat</t>
  </si>
  <si>
    <t>Sheikh Mahmut</t>
  </si>
  <si>
    <t>Sheikh Matar</t>
  </si>
  <si>
    <t>Sheikh Musa</t>
  </si>
  <si>
    <t>Sheikh 'Nad</t>
  </si>
  <si>
    <t>Sheikh Nifil</t>
  </si>
  <si>
    <t>Sheikh Sulayman</t>
  </si>
  <si>
    <t>Sheikhs</t>
  </si>
  <si>
    <t>Shepherds</t>
  </si>
  <si>
    <t>Shepherds in Former Times</t>
  </si>
  <si>
    <t>Shoes with Better Qualitiy in Former Times</t>
  </si>
  <si>
    <t>Short</t>
  </si>
  <si>
    <t>Shroud</t>
  </si>
  <si>
    <t>Sick Kid</t>
  </si>
  <si>
    <t>Sick Man</t>
  </si>
  <si>
    <t>Singing</t>
  </si>
  <si>
    <t>Sister</t>
  </si>
  <si>
    <t>Sisters</t>
  </si>
  <si>
    <t>Sister's Marriage</t>
  </si>
  <si>
    <t>Situation Back Then in Raqqa</t>
  </si>
  <si>
    <t>Skipping Serving the Military</t>
  </si>
  <si>
    <t>Smart Man</t>
  </si>
  <si>
    <t>Smart Women</t>
  </si>
  <si>
    <t>Smide</t>
  </si>
  <si>
    <t>Smoking</t>
  </si>
  <si>
    <t>Smoking Woman</t>
  </si>
  <si>
    <t>Snake</t>
  </si>
  <si>
    <t>Snake in the Cistern</t>
  </si>
  <si>
    <t>Snake Killing</t>
  </si>
  <si>
    <t>Sneezing</t>
  </si>
  <si>
    <t>Soldiers</t>
  </si>
  <si>
    <t>Soud</t>
  </si>
  <si>
    <t>Speaking Arabic</t>
  </si>
  <si>
    <t>Spending Money</t>
  </si>
  <si>
    <t>Stealing</t>
  </si>
  <si>
    <t>Stealing Boy</t>
  </si>
  <si>
    <t>Stealing Watermelon</t>
  </si>
  <si>
    <t>Stories</t>
  </si>
  <si>
    <t>Stories about Some Prophets</t>
  </si>
  <si>
    <t>Stories about the Prophet</t>
  </si>
  <si>
    <t>Stories from the Past</t>
  </si>
  <si>
    <t>Story</t>
  </si>
  <si>
    <t>Story about Moses</t>
  </si>
  <si>
    <t>Story from the Village of Qoran</t>
  </si>
  <si>
    <t>Story of a camel</t>
  </si>
  <si>
    <t>Story of a Magician</t>
  </si>
  <si>
    <t>Story of a Man</t>
  </si>
  <si>
    <t>Story of a Man and his Wife</t>
  </si>
  <si>
    <t>Story of a Woman</t>
  </si>
  <si>
    <t>Story of Creation</t>
  </si>
  <si>
    <t>Studying for School</t>
  </si>
  <si>
    <t>Sufis</t>
  </si>
  <si>
    <t>Sultan Murad</t>
  </si>
  <si>
    <t>Summer Tent</t>
  </si>
  <si>
    <t>Surgery</t>
  </si>
  <si>
    <t>Survey</t>
  </si>
  <si>
    <t>Sweets</t>
  </si>
  <si>
    <t>Swimming</t>
  </si>
  <si>
    <t xml:space="preserve">Syria in Former Times </t>
  </si>
  <si>
    <t>Syrian War</t>
  </si>
  <si>
    <t>Syrians</t>
  </si>
  <si>
    <t>Syrians being bad</t>
  </si>
  <si>
    <t>Syrians to Turkey</t>
  </si>
  <si>
    <t>Tabak</t>
  </si>
  <si>
    <t>Talks</t>
  </si>
  <si>
    <t>Tall Abyad</t>
  </si>
  <si>
    <t>Tall Nasir</t>
  </si>
  <si>
    <t>Tall Shnan</t>
  </si>
  <si>
    <t>Talls</t>
  </si>
  <si>
    <t>Tattooing</t>
  </si>
  <si>
    <t>Technology</t>
  </si>
  <si>
    <t>Tee</t>
  </si>
  <si>
    <t>Tent</t>
  </si>
  <si>
    <t>The Bride</t>
  </si>
  <si>
    <t>The Devil</t>
  </si>
  <si>
    <t>The Game Ca'ab</t>
  </si>
  <si>
    <t>The Game Qubbeya</t>
  </si>
  <si>
    <t>The Game Xwetime</t>
  </si>
  <si>
    <t>The Ill Blind Mother</t>
  </si>
  <si>
    <t>The Importance of Morals</t>
  </si>
  <si>
    <t>The Internet</t>
  </si>
  <si>
    <t>The Kurd and the two wives</t>
  </si>
  <si>
    <t>The Magician</t>
  </si>
  <si>
    <t>The One Chooses a Horse</t>
  </si>
  <si>
    <t>The One Who Wanted To Marry</t>
  </si>
  <si>
    <t>The Ottomans</t>
  </si>
  <si>
    <t xml:space="preserve">The Policeman Who Ate a Holy Carp </t>
  </si>
  <si>
    <t>The Qoran</t>
  </si>
  <si>
    <t>The Sheikh</t>
  </si>
  <si>
    <t>The Sheikhs</t>
  </si>
  <si>
    <t>The Shepherd</t>
  </si>
  <si>
    <t>The Shepherd and the Watermelon</t>
  </si>
  <si>
    <t>Thieves</t>
  </si>
  <si>
    <t>Thistles</t>
  </si>
  <si>
    <t>Threashing Wheat</t>
  </si>
  <si>
    <t>Threats</t>
  </si>
  <si>
    <t>Three Advices</t>
  </si>
  <si>
    <t>Three Daughters</t>
  </si>
  <si>
    <t>Three Wishes</t>
  </si>
  <si>
    <t>Time Changing</t>
  </si>
  <si>
    <t>To Europe</t>
  </si>
  <si>
    <t>To Istanbul</t>
  </si>
  <si>
    <t>Tobacco</t>
  </si>
  <si>
    <t>Tractor</t>
  </si>
  <si>
    <t>Traditions</t>
  </si>
  <si>
    <t xml:space="preserve">Travelling is Easier Now </t>
  </si>
  <si>
    <t>Tribe Adwan</t>
  </si>
  <si>
    <t>Tribe Baggara</t>
  </si>
  <si>
    <t>Tribe Farman</t>
  </si>
  <si>
    <t>Tribe Gumeli</t>
  </si>
  <si>
    <t>Tribe History</t>
  </si>
  <si>
    <t>Tribes</t>
  </si>
  <si>
    <t>Tribe's Importance</t>
  </si>
  <si>
    <t>Tribe's Leader</t>
  </si>
  <si>
    <t>Tribes of Akcakale</t>
  </si>
  <si>
    <t>True Friends</t>
  </si>
  <si>
    <t>Truffle</t>
  </si>
  <si>
    <t>Trying Business</t>
  </si>
  <si>
    <t>Two Arab Tribes</t>
  </si>
  <si>
    <t>Two Barley Grains</t>
  </si>
  <si>
    <t>Two Brothers</t>
  </si>
  <si>
    <t>Two Husbands</t>
  </si>
  <si>
    <t>Two women and a Fridge</t>
  </si>
  <si>
    <t>Umm al-Qet</t>
  </si>
  <si>
    <t>Ungrateful Man</t>
  </si>
  <si>
    <t>Unlucky Day</t>
  </si>
  <si>
    <t>Uzbeks in Turkey</t>
  </si>
  <si>
    <t>Vegetables</t>
  </si>
  <si>
    <t>Verses</t>
  </si>
  <si>
    <t>Village</t>
  </si>
  <si>
    <t>Village of Mahawi</t>
  </si>
  <si>
    <t>Villages</t>
  </si>
  <si>
    <t>Visa in Ankara</t>
  </si>
  <si>
    <t>Visiting his Friend Baqir</t>
  </si>
  <si>
    <t>Voice Message</t>
  </si>
  <si>
    <t>Voracious Man</t>
  </si>
  <si>
    <t>Walking</t>
  </si>
  <si>
    <t>Wars among Tribes</t>
  </si>
  <si>
    <t>Wars in Former Times</t>
  </si>
  <si>
    <t>Washing Clothes</t>
  </si>
  <si>
    <t>Water</t>
  </si>
  <si>
    <t>Water Hose</t>
  </si>
  <si>
    <t>Water-Well</t>
  </si>
  <si>
    <t>Wedding</t>
  </si>
  <si>
    <t>Wedding in Former Times</t>
  </si>
  <si>
    <t>Wedding Nowadays</t>
  </si>
  <si>
    <t>Wheat Measures</t>
  </si>
  <si>
    <t>Wolf</t>
  </si>
  <si>
    <t>Woman</t>
  </si>
  <si>
    <t>Woman with No Lover</t>
  </si>
  <si>
    <t>Women</t>
  </si>
  <si>
    <t>Women's Genealogy</t>
  </si>
  <si>
    <t>Wool</t>
  </si>
  <si>
    <t>Word Hadag</t>
  </si>
  <si>
    <t>Word List</t>
  </si>
  <si>
    <t xml:space="preserve">Word Zihid </t>
  </si>
  <si>
    <t>Words</t>
  </si>
  <si>
    <t>Words about Kids</t>
  </si>
  <si>
    <t>Work</t>
  </si>
  <si>
    <t>Working honestly</t>
  </si>
  <si>
    <t>Working in a Gas Station</t>
  </si>
  <si>
    <t>Xandaq Battle</t>
  </si>
  <si>
    <t>Young Woman</t>
  </si>
  <si>
    <t>Yozgatli in Mecca</t>
  </si>
  <si>
    <t>Zulayha</t>
  </si>
  <si>
    <t>Cigkofte</t>
  </si>
  <si>
    <t>Placename</t>
  </si>
  <si>
    <t>Geonames ID</t>
  </si>
  <si>
    <t>Geo Type</t>
  </si>
  <si>
    <t>Aaouade</t>
  </si>
  <si>
    <t>aaouade</t>
  </si>
  <si>
    <t>266310</t>
  </si>
  <si>
    <t>geo</t>
  </si>
  <si>
    <t>Abéché</t>
  </si>
  <si>
    <t>abeche</t>
  </si>
  <si>
    <t>245785</t>
  </si>
  <si>
    <t>Abha</t>
  </si>
  <si>
    <t>abha</t>
  </si>
  <si>
    <t>110690</t>
  </si>
  <si>
    <t>Abu Dhabi</t>
  </si>
  <si>
    <t>abu_dhabi</t>
  </si>
  <si>
    <t>292968</t>
  </si>
  <si>
    <t>Abu Qbēs</t>
  </si>
  <si>
    <t>abu_qbes</t>
  </si>
  <si>
    <t>174397</t>
  </si>
  <si>
    <t>Abu Shusha</t>
  </si>
  <si>
    <t>abu_shusha</t>
  </si>
  <si>
    <t>295767</t>
  </si>
  <si>
    <t>Abu Snan</t>
  </si>
  <si>
    <t>abu_snan</t>
  </si>
  <si>
    <t>295765</t>
  </si>
  <si>
    <t>Ad Dāmikhī</t>
  </si>
  <si>
    <t>ad_damikhi</t>
  </si>
  <si>
    <t>8594815</t>
  </si>
  <si>
    <t>Ad Dulaylah</t>
  </si>
  <si>
    <t>ad_dulaylah</t>
  </si>
  <si>
    <t>249588</t>
  </si>
  <si>
    <t>Adana</t>
  </si>
  <si>
    <t>adana</t>
  </si>
  <si>
    <t>325363</t>
  </si>
  <si>
    <t>Aden</t>
  </si>
  <si>
    <t>aden</t>
  </si>
  <si>
    <t>415189</t>
  </si>
  <si>
    <t>Afak</t>
  </si>
  <si>
    <t>afak</t>
  </si>
  <si>
    <t>99738</t>
  </si>
  <si>
    <t>Afghanistan</t>
  </si>
  <si>
    <t>afghanistan</t>
  </si>
  <si>
    <t>1149361</t>
  </si>
  <si>
    <t>reg</t>
  </si>
  <si>
    <t>Agadir</t>
  </si>
  <si>
    <t>agadir</t>
  </si>
  <si>
    <t>2561668</t>
  </si>
  <si>
    <t>Ahwaz</t>
  </si>
  <si>
    <t>ahwaz</t>
  </si>
  <si>
    <t>144448</t>
  </si>
  <si>
    <t>Ain Aanjar</t>
  </si>
  <si>
    <t>ain_aanjar</t>
  </si>
  <si>
    <t>278924</t>
  </si>
  <si>
    <t>Ajloun</t>
  </si>
  <si>
    <t>ajloun</t>
  </si>
  <si>
    <t>443120</t>
  </si>
  <si>
    <t>Akko</t>
  </si>
  <si>
    <t>akko</t>
  </si>
  <si>
    <t>295721</t>
  </si>
  <si>
    <t>Al-Andalus</t>
  </si>
  <si>
    <t>al_andalus</t>
  </si>
  <si>
    <t>2510911</t>
  </si>
  <si>
    <t>al-Badāri</t>
  </si>
  <si>
    <t>al_badari</t>
  </si>
  <si>
    <t>361478</t>
  </si>
  <si>
    <t>al-Bāḥa</t>
  </si>
  <si>
    <t>al_baha</t>
  </si>
  <si>
    <t>109953</t>
  </si>
  <si>
    <t>al-Balqa</t>
  </si>
  <si>
    <t>al_balqa</t>
  </si>
  <si>
    <t>250751</t>
  </si>
  <si>
    <t>Al Baraddun</t>
  </si>
  <si>
    <t>al_baraddun</t>
  </si>
  <si>
    <t>30652</t>
  </si>
  <si>
    <t>Al-Bayda</t>
  </si>
  <si>
    <t>al_bayda</t>
  </si>
  <si>
    <t>79836</t>
  </si>
  <si>
    <t>Al Bid'</t>
  </si>
  <si>
    <t>al_bid</t>
  </si>
  <si>
    <t>396375</t>
  </si>
  <si>
    <t>al-Dawayima</t>
  </si>
  <si>
    <t>al_dawayima</t>
  </si>
  <si>
    <t>295304</t>
  </si>
  <si>
    <t>Al-Hajariyah</t>
  </si>
  <si>
    <t>al_hajariyah</t>
  </si>
  <si>
    <t>8075771</t>
  </si>
  <si>
    <t>Al-Hasa</t>
  </si>
  <si>
    <t>al_hasa</t>
  </si>
  <si>
    <t>110110</t>
  </si>
  <si>
    <t>Al-Hayit</t>
  </si>
  <si>
    <t>al_hayit</t>
  </si>
  <si>
    <t>109611</t>
  </si>
  <si>
    <t>Al Hoceima</t>
  </si>
  <si>
    <t>al_hoceima</t>
  </si>
  <si>
    <t>2558545</t>
  </si>
  <si>
    <t>Al-Jabal al-gharbi</t>
  </si>
  <si>
    <t>al_jabal_al_gharbi</t>
  </si>
  <si>
    <t>7602689</t>
  </si>
  <si>
    <t>Al-Jādī</t>
  </si>
  <si>
    <t>al_jadi</t>
  </si>
  <si>
    <t>289222</t>
  </si>
  <si>
    <t>Al Jafr</t>
  </si>
  <si>
    <t>al_jafr</t>
  </si>
  <si>
    <t>250649</t>
  </si>
  <si>
    <t>Al-Jawf Region</t>
  </si>
  <si>
    <t>al_jawf</t>
  </si>
  <si>
    <t>109470</t>
  </si>
  <si>
    <t>Al-Karak</t>
  </si>
  <si>
    <t>al_karak</t>
  </si>
  <si>
    <t>250625</t>
  </si>
  <si>
    <t>Al-Karāme</t>
  </si>
  <si>
    <t>al_karame</t>
  </si>
  <si>
    <t>4273</t>
  </si>
  <si>
    <t>Al-Khaburah</t>
  </si>
  <si>
    <t>al_khaburah</t>
  </si>
  <si>
    <t>289199</t>
  </si>
  <si>
    <t>Al-Khafsah</t>
  </si>
  <si>
    <t>al_khafsah</t>
  </si>
  <si>
    <t>168422</t>
  </si>
  <si>
    <t>Al-Khums</t>
  </si>
  <si>
    <t>al_khums</t>
  </si>
  <si>
    <t>2219905</t>
  </si>
  <si>
    <t>Al-Kuntilla</t>
  </si>
  <si>
    <t>al_kuntilla</t>
  </si>
  <si>
    <t>360870</t>
  </si>
  <si>
    <t>Al Mashrafah</t>
  </si>
  <si>
    <t>al_mashrafah</t>
  </si>
  <si>
    <t>173493</t>
  </si>
  <si>
    <t>Al Mir'ī</t>
  </si>
  <si>
    <t>al_miri</t>
  </si>
  <si>
    <t>7345784</t>
  </si>
  <si>
    <t>il-Mizrʕa iš-Šarkiyya</t>
  </si>
  <si>
    <t>al_mizra_ish_sharkiyya</t>
  </si>
  <si>
    <t>285033</t>
  </si>
  <si>
    <t>Al-Musayfirah</t>
  </si>
  <si>
    <t>al_musayfirah</t>
  </si>
  <si>
    <t>173416</t>
  </si>
  <si>
    <t>Al Muwaqqar</t>
  </si>
  <si>
    <t>al_muwaqqar</t>
  </si>
  <si>
    <t>407169</t>
  </si>
  <si>
    <t>An Namasā</t>
  </si>
  <si>
    <t>al_namasa</t>
  </si>
  <si>
    <t>445262</t>
  </si>
  <si>
    <t>An Nāṣrīye</t>
  </si>
  <si>
    <t>al_nasriye</t>
  </si>
  <si>
    <t>173176</t>
  </si>
  <si>
    <t>An Nazīr</t>
  </si>
  <si>
    <t>al_nazir</t>
  </si>
  <si>
    <t>34888</t>
  </si>
  <si>
    <t>Al-Nuaymah</t>
  </si>
  <si>
    <t>al_nuaymah</t>
  </si>
  <si>
    <t>166332</t>
  </si>
  <si>
    <t>Al Qaḥṭānīyah</t>
  </si>
  <si>
    <t>al_qahtaniyah</t>
  </si>
  <si>
    <t>165757</t>
  </si>
  <si>
    <t>Al-Qaryatayn</t>
  </si>
  <si>
    <t>al_qaryatayn</t>
  </si>
  <si>
    <t>173361</t>
  </si>
  <si>
    <t>Al-Qassim</t>
  </si>
  <si>
    <t>al_qassim</t>
  </si>
  <si>
    <t>108933</t>
  </si>
  <si>
    <t>Al-Qatif</t>
  </si>
  <si>
    <t>al_qatif</t>
  </si>
  <si>
    <t>108927</t>
  </si>
  <si>
    <t>Al-Qudayr</t>
  </si>
  <si>
    <t>al_qudayr</t>
  </si>
  <si>
    <t>173388</t>
  </si>
  <si>
    <t>Al-Qusaymah</t>
  </si>
  <si>
    <t>al_qusaymah</t>
  </si>
  <si>
    <t>360532</t>
  </si>
  <si>
    <t>Al-Ristaq</t>
  </si>
  <si>
    <t>al_ristaq</t>
  </si>
  <si>
    <t>289012</t>
  </si>
  <si>
    <t>Al-Salḥabīye</t>
  </si>
  <si>
    <t>al_salhabiye</t>
  </si>
  <si>
    <t>164938</t>
  </si>
  <si>
    <t>Al-Salt</t>
  </si>
  <si>
    <t>al_salt</t>
  </si>
  <si>
    <t>250258</t>
  </si>
  <si>
    <t>Al-Shahaniya</t>
  </si>
  <si>
    <t>al_shahaniya</t>
  </si>
  <si>
    <t>11777514</t>
  </si>
  <si>
    <t>Al-Shirqat</t>
  </si>
  <si>
    <t>al_shirqat</t>
  </si>
  <si>
    <t>6804454</t>
  </si>
  <si>
    <t>Aš-Šūna al-Ǧanūbiyya</t>
  </si>
  <si>
    <t>al_shuna_al_janubiyya</t>
  </si>
  <si>
    <t>246816</t>
  </si>
  <si>
    <t>Al-Sukhna</t>
  </si>
  <si>
    <t>al_sukhna</t>
  </si>
  <si>
    <t>172425</t>
  </si>
  <si>
    <t>As Suwayda District</t>
  </si>
  <si>
    <t>al_suwayda_district</t>
  </si>
  <si>
    <t>172409</t>
  </si>
  <si>
    <t>Al-ʕUdayn</t>
  </si>
  <si>
    <t>al_udayn</t>
  </si>
  <si>
    <t>78543</t>
  </si>
  <si>
    <t>al-Ula</t>
  </si>
  <si>
    <t>al_ula</t>
  </si>
  <si>
    <t>108841</t>
  </si>
  <si>
    <t>al-ʕuššah</t>
  </si>
  <si>
    <t>al_ushshah</t>
  </si>
  <si>
    <t>11129572</t>
  </si>
  <si>
    <t>Al Wahiba</t>
  </si>
  <si>
    <t>al_wahiba</t>
  </si>
  <si>
    <t>289096</t>
  </si>
  <si>
    <t>Aleppo</t>
  </si>
  <si>
    <t>aleppo</t>
  </si>
  <si>
    <t>170063</t>
  </si>
  <si>
    <t>Alexandria</t>
  </si>
  <si>
    <t>alexandria</t>
  </si>
  <si>
    <t>361058</t>
  </si>
  <si>
    <t>Algeria</t>
  </si>
  <si>
    <t>algeria</t>
  </si>
  <si>
    <t>2589581</t>
  </si>
  <si>
    <t>Algiers</t>
  </si>
  <si>
    <t>algier</t>
  </si>
  <si>
    <t>2507480</t>
  </si>
  <si>
    <t>Amman</t>
  </si>
  <si>
    <t>amman</t>
  </si>
  <si>
    <t>250441</t>
  </si>
  <si>
    <t>Amuda</t>
  </si>
  <si>
    <t>amuda</t>
  </si>
  <si>
    <t>173230</t>
  </si>
  <si>
    <t>Andalusia</t>
  </si>
  <si>
    <t>andalusia</t>
  </si>
  <si>
    <t>2593109</t>
  </si>
  <si>
    <t>Anjra</t>
  </si>
  <si>
    <t>anjra</t>
  </si>
  <si>
    <t>2549894</t>
  </si>
  <si>
    <t>Antakya</t>
  </si>
  <si>
    <t>antakya</t>
  </si>
  <si>
    <t>323779</t>
  </si>
  <si>
    <t>Anti-Lebanon Mountains</t>
  </si>
  <si>
    <t>anti_lebanon_mountains</t>
  </si>
  <si>
    <t>173153</t>
  </si>
  <si>
    <t>Aqrah</t>
  </si>
  <si>
    <t>aqrah</t>
  </si>
  <si>
    <t>98822</t>
  </si>
  <si>
    <t>ar-Raqqa(Rogga)</t>
  </si>
  <si>
    <t>ar_raqqa</t>
  </si>
  <si>
    <t>172955</t>
  </si>
  <si>
    <t>ar-Rass</t>
  </si>
  <si>
    <t>ar_rass</t>
  </si>
  <si>
    <t>108435</t>
  </si>
  <si>
    <t>ʕArab al-Rašāyda</t>
  </si>
  <si>
    <t>arab_al_rashayida</t>
  </si>
  <si>
    <t>7870676</t>
  </si>
  <si>
    <t>'Arab Ṣāliḥ</t>
  </si>
  <si>
    <t>arab_salih</t>
  </si>
  <si>
    <t>359072</t>
  </si>
  <si>
    <t>Arabian Peninsula</t>
  </si>
  <si>
    <t>arabian_peninsula</t>
  </si>
  <si>
    <t>6957697</t>
  </si>
  <si>
    <t>Arabkhane</t>
  </si>
  <si>
    <t>arabkhane</t>
  </si>
  <si>
    <t>7052605</t>
  </si>
  <si>
    <t>Arwad</t>
  </si>
  <si>
    <t>arwad</t>
  </si>
  <si>
    <t>172879</t>
  </si>
  <si>
    <t>Ashdod</t>
  </si>
  <si>
    <t>ashdod</t>
  </si>
  <si>
    <t>295629</t>
  </si>
  <si>
    <t>'Asir</t>
  </si>
  <si>
    <t>asir</t>
  </si>
  <si>
    <t>108179</t>
  </si>
  <si>
    <t>'Assāl al Ward</t>
  </si>
  <si>
    <t>assal_al_ward</t>
  </si>
  <si>
    <t>172487</t>
  </si>
  <si>
    <t>Aswan</t>
  </si>
  <si>
    <t>aswan</t>
  </si>
  <si>
    <t>359792</t>
  </si>
  <si>
    <t>Asyut</t>
  </si>
  <si>
    <t>asyut</t>
  </si>
  <si>
    <t>359783</t>
  </si>
  <si>
    <t>Atlas Mountains</t>
  </si>
  <si>
    <t>atlas_mountains</t>
  </si>
  <si>
    <t>2556769</t>
  </si>
  <si>
    <t>Az-Zuhrah</t>
  </si>
  <si>
    <t>az_zuhrah</t>
  </si>
  <si>
    <t>6940731</t>
  </si>
  <si>
    <t>Badr al Jadīdah</t>
  </si>
  <si>
    <t>badr_al_jadidah</t>
  </si>
  <si>
    <t>11075954</t>
  </si>
  <si>
    <t>Baghdad</t>
  </si>
  <si>
    <t>baghdad</t>
  </si>
  <si>
    <t>98182</t>
  </si>
  <si>
    <t>Bahla</t>
  </si>
  <si>
    <t>bahla</t>
  </si>
  <si>
    <t>288899</t>
  </si>
  <si>
    <t>Bahrain</t>
  </si>
  <si>
    <t>bahrain</t>
  </si>
  <si>
    <t>290291</t>
  </si>
  <si>
    <t>Bahzani</t>
  </si>
  <si>
    <t>bahzani</t>
  </si>
  <si>
    <t>98144</t>
  </si>
  <si>
    <t>Balat</t>
  </si>
  <si>
    <t>balat</t>
  </si>
  <si>
    <t>359316</t>
  </si>
  <si>
    <t>Balkh region</t>
  </si>
  <si>
    <t>balkh_region</t>
  </si>
  <si>
    <t>1147288</t>
  </si>
  <si>
    <t>Bandar Moqam</t>
  </si>
  <si>
    <t>bandar_moqam</t>
  </si>
  <si>
    <t>141660</t>
  </si>
  <si>
    <t>Bani Suwayf</t>
  </si>
  <si>
    <t>bani_suwayf</t>
  </si>
  <si>
    <t>359173</t>
  </si>
  <si>
    <t>Barr Elias</t>
  </si>
  <si>
    <t>barr_elias</t>
  </si>
  <si>
    <t>276955</t>
  </si>
  <si>
    <t>Barrāmīya</t>
  </si>
  <si>
    <t>barramiya</t>
  </si>
  <si>
    <t>12090683</t>
  </si>
  <si>
    <t>Baskinta</t>
  </si>
  <si>
    <t>baskinta</t>
  </si>
  <si>
    <t>276463</t>
  </si>
  <si>
    <t>Basmat Ṭab‘ūn</t>
  </si>
  <si>
    <t>basmat_tabun</t>
  </si>
  <si>
    <t>295553</t>
  </si>
  <si>
    <t>Basra</t>
  </si>
  <si>
    <t>basra</t>
  </si>
  <si>
    <t>99532</t>
  </si>
  <si>
    <t>Bayt al-Faqīh</t>
  </si>
  <si>
    <t>bayt_al_faqih</t>
  </si>
  <si>
    <t>76991</t>
  </si>
  <si>
    <t>Bayt Lif</t>
  </si>
  <si>
    <t>bayt_lif</t>
  </si>
  <si>
    <t>276709</t>
  </si>
  <si>
    <t>Beirut</t>
  </si>
  <si>
    <t>beirut</t>
  </si>
  <si>
    <t>276781</t>
  </si>
  <si>
    <t>Ben Gardane</t>
  </si>
  <si>
    <t>bengardane</t>
  </si>
  <si>
    <t>2472431</t>
  </si>
  <si>
    <t>Benghazi</t>
  </si>
  <si>
    <t>benghazi</t>
  </si>
  <si>
    <t>88319</t>
  </si>
  <si>
    <t>Beqaa</t>
  </si>
  <si>
    <t>beqaa</t>
  </si>
  <si>
    <t>280282</t>
  </si>
  <si>
    <t>Bēt Liqya</t>
  </si>
  <si>
    <t>bet_liqya</t>
  </si>
  <si>
    <t>284312</t>
  </si>
  <si>
    <t>Bethlehem</t>
  </si>
  <si>
    <t>bethlehem</t>
  </si>
  <si>
    <t>284315</t>
  </si>
  <si>
    <t>Bi’na</t>
  </si>
  <si>
    <t>biine</t>
  </si>
  <si>
    <t>295411</t>
  </si>
  <si>
    <t>Bilad Ghamid</t>
  </si>
  <si>
    <t>bilad_ghamid</t>
  </si>
  <si>
    <t>107439</t>
  </si>
  <si>
    <t>Bir al-Abd</t>
  </si>
  <si>
    <t>bir_al_abd</t>
  </si>
  <si>
    <t>410142</t>
  </si>
  <si>
    <t>Bīr el Maksūr</t>
  </si>
  <si>
    <t>bir_el_maksur</t>
  </si>
  <si>
    <t>295404</t>
  </si>
  <si>
    <t>Bir Qatia</t>
  </si>
  <si>
    <t>bir_qatia</t>
  </si>
  <si>
    <t>350593</t>
  </si>
  <si>
    <t>Birzeit</t>
  </si>
  <si>
    <t>birzeit</t>
  </si>
  <si>
    <t>284237</t>
  </si>
  <si>
    <t>Bīša</t>
  </si>
  <si>
    <t>bisha</t>
  </si>
  <si>
    <t>103369</t>
  </si>
  <si>
    <t>Bishmizzine</t>
  </si>
  <si>
    <t>bishmizzine</t>
  </si>
  <si>
    <t>276466</t>
  </si>
  <si>
    <t>Blās</t>
  </si>
  <si>
    <t>blas</t>
  </si>
  <si>
    <t>171903</t>
  </si>
  <si>
    <t>Borno</t>
  </si>
  <si>
    <t>borno</t>
  </si>
  <si>
    <t>2346794</t>
  </si>
  <si>
    <t>Bou Saada</t>
  </si>
  <si>
    <t>bou_saada</t>
  </si>
  <si>
    <t>2502385</t>
  </si>
  <si>
    <t>Bourghliyeh</t>
  </si>
  <si>
    <t>bourghliyeh</t>
  </si>
  <si>
    <t>7870228</t>
  </si>
  <si>
    <t>Bout el Fil</t>
  </si>
  <si>
    <t>bout_el_fil</t>
  </si>
  <si>
    <t>2434577</t>
  </si>
  <si>
    <t>Branes</t>
  </si>
  <si>
    <t>branes</t>
  </si>
  <si>
    <t>2553727</t>
  </si>
  <si>
    <t>Buʕayna Nuǧaydat</t>
  </si>
  <si>
    <t>buayna_nujaydat</t>
  </si>
  <si>
    <t>11979636</t>
  </si>
  <si>
    <t>Al Bukayrīyah</t>
  </si>
  <si>
    <t>bukayriya</t>
  </si>
  <si>
    <t xml:space="preserve"> 109878</t>
  </si>
  <si>
    <t>Bukhara</t>
  </si>
  <si>
    <t>bukhara</t>
  </si>
  <si>
    <t>1217662</t>
  </si>
  <si>
    <t>Buraymi</t>
  </si>
  <si>
    <t>buraymi</t>
  </si>
  <si>
    <t>289317</t>
  </si>
  <si>
    <t>Burj el-Shemali</t>
  </si>
  <si>
    <t>burj_el_shemali</t>
  </si>
  <si>
    <t>276129</t>
  </si>
  <si>
    <t>Buṣra</t>
  </si>
  <si>
    <t>busra</t>
  </si>
  <si>
    <t>171126</t>
  </si>
  <si>
    <t>Butana</t>
  </si>
  <si>
    <t>butana</t>
  </si>
  <si>
    <t>379593</t>
  </si>
  <si>
    <t>Cairo</t>
  </si>
  <si>
    <t>cairo</t>
  </si>
  <si>
    <t>360630</t>
  </si>
  <si>
    <t>calabria</t>
  </si>
  <si>
    <t>Cameroon (North Region)</t>
  </si>
  <si>
    <t>cameroon_north_region</t>
  </si>
  <si>
    <t>2231320</t>
  </si>
  <si>
    <t>Casablanca</t>
  </si>
  <si>
    <t>casablanca</t>
  </si>
  <si>
    <t>2553604</t>
  </si>
  <si>
    <t>Casablanca-Settat</t>
  </si>
  <si>
    <t>casablanca-settat</t>
  </si>
  <si>
    <t>11281879</t>
  </si>
  <si>
    <t>Central Asia</t>
  </si>
  <si>
    <t>central_asia</t>
  </si>
  <si>
    <t>1479427</t>
  </si>
  <si>
    <t>Ceuta</t>
  </si>
  <si>
    <t>ceuta</t>
  </si>
  <si>
    <t>6362987</t>
  </si>
  <si>
    <t>Chad</t>
  </si>
  <si>
    <t>chad</t>
  </si>
  <si>
    <t>2434508</t>
  </si>
  <si>
    <t>Chanay</t>
  </si>
  <si>
    <t>chanay</t>
  </si>
  <si>
    <t>267672</t>
  </si>
  <si>
    <t>Chebba</t>
  </si>
  <si>
    <t>chebba</t>
  </si>
  <si>
    <t>7870311</t>
  </si>
  <si>
    <t>Chefchaouen</t>
  </si>
  <si>
    <t>chefchaouen</t>
  </si>
  <si>
    <t>2553455</t>
  </si>
  <si>
    <t>Cherchell</t>
  </si>
  <si>
    <t>cherchell</t>
  </si>
  <si>
    <t>2501440</t>
  </si>
  <si>
    <t>Cilicia</t>
  </si>
  <si>
    <t>cilicia</t>
  </si>
  <si>
    <t>8378491</t>
  </si>
  <si>
    <t>Comoro Islands</t>
  </si>
  <si>
    <t>comoro_islands</t>
  </si>
  <si>
    <t>921929</t>
  </si>
  <si>
    <t>Constantine</t>
  </si>
  <si>
    <t>constantine</t>
  </si>
  <si>
    <t>2501152</t>
  </si>
  <si>
    <t>Çukurova</t>
  </si>
  <si>
    <t>cukurova</t>
  </si>
  <si>
    <t>318458</t>
  </si>
  <si>
    <t>Cyprus</t>
  </si>
  <si>
    <t>cyprus</t>
  </si>
  <si>
    <t>146669</t>
  </si>
  <si>
    <t>Cyrenaica</t>
  </si>
  <si>
    <t>cyrenaica</t>
  </si>
  <si>
    <t>88252</t>
  </si>
  <si>
    <t>Dagestan</t>
  </si>
  <si>
    <t>dagestan</t>
  </si>
  <si>
    <t>567292</t>
  </si>
  <si>
    <t>Dahab</t>
  </si>
  <si>
    <t>dahab</t>
  </si>
  <si>
    <t>358245</t>
  </si>
  <si>
    <t>Dahlak Archipelago</t>
  </si>
  <si>
    <t>dahlak_archipelago</t>
  </si>
  <si>
    <t>340218</t>
  </si>
  <si>
    <t>Dakhla</t>
  </si>
  <si>
    <t>dakhla</t>
  </si>
  <si>
    <t>358471</t>
  </si>
  <si>
    <t>Damascus</t>
  </si>
  <si>
    <t>damascus</t>
  </si>
  <si>
    <t>170654</t>
  </si>
  <si>
    <t>Danagözü</t>
  </si>
  <si>
    <t>danagoezue</t>
  </si>
  <si>
    <t>Dēr is-Sūdān</t>
  </si>
  <si>
    <t>dar_is_sudan</t>
  </si>
  <si>
    <t>284085</t>
  </si>
  <si>
    <t>Darawah</t>
  </si>
  <si>
    <t>darawah</t>
  </si>
  <si>
    <t>358386</t>
  </si>
  <si>
    <t>Darfur</t>
  </si>
  <si>
    <t>darfur</t>
  </si>
  <si>
    <t>8693107</t>
  </si>
  <si>
    <t>Darīz</t>
  </si>
  <si>
    <t>dariz</t>
  </si>
  <si>
    <t>289426</t>
  </si>
  <si>
    <t>Dasht-e Azadegan</t>
  </si>
  <si>
    <t>dasht_e_azadegan</t>
  </si>
  <si>
    <t>6899807</t>
  </si>
  <si>
    <t>Debdou</t>
  </si>
  <si>
    <t>debdou</t>
  </si>
  <si>
    <t>2552407</t>
  </si>
  <si>
    <t>deir_ez_zor</t>
  </si>
  <si>
    <t>170794</t>
  </si>
  <si>
    <t>Dellys</t>
  </si>
  <si>
    <t>dellys</t>
  </si>
  <si>
    <t>2500583</t>
  </si>
  <si>
    <t>Derek</t>
  </si>
  <si>
    <t>derek</t>
  </si>
  <si>
    <t>8630817</t>
  </si>
  <si>
    <t>Dhahran</t>
  </si>
  <si>
    <t>dhahran</t>
  </si>
  <si>
    <t>107797</t>
  </si>
  <si>
    <t>Dhale</t>
  </si>
  <si>
    <t>dhale</t>
  </si>
  <si>
    <t>6940875</t>
  </si>
  <si>
    <t>Dhofar</t>
  </si>
  <si>
    <t>dhofar</t>
  </si>
  <si>
    <t>285879</t>
  </si>
  <si>
    <t>Djedaa</t>
  </si>
  <si>
    <t>djedaa</t>
  </si>
  <si>
    <t>2433675</t>
  </si>
  <si>
    <t>Djelfa</t>
  </si>
  <si>
    <t>djelfa</t>
  </si>
  <si>
    <t>2500017</t>
  </si>
  <si>
    <t>Djerba</t>
  </si>
  <si>
    <t>djerba</t>
  </si>
  <si>
    <t>2470181</t>
  </si>
  <si>
    <t>Djibouti</t>
  </si>
  <si>
    <t>djibouti</t>
  </si>
  <si>
    <t>223816</t>
  </si>
  <si>
    <t>Doha</t>
  </si>
  <si>
    <t>doha</t>
  </si>
  <si>
    <t>290030</t>
  </si>
  <si>
    <t>Douz</t>
  </si>
  <si>
    <t>douz</t>
  </si>
  <si>
    <t>2471287</t>
  </si>
  <si>
    <t>Dubai</t>
  </si>
  <si>
    <t>dubai</t>
  </si>
  <si>
    <t>292223</t>
  </si>
  <si>
    <t>Eastern Anatolia Region</t>
  </si>
  <si>
    <t>eastern_anatolia_region</t>
  </si>
  <si>
    <t>10922505</t>
  </si>
  <si>
    <t>Ed Dhaïra</t>
  </si>
  <si>
    <t>ed_dhayra</t>
  </si>
  <si>
    <t>280729</t>
  </si>
  <si>
    <t>Egypt</t>
  </si>
  <si>
    <t>egypt</t>
  </si>
  <si>
    <t>357994</t>
  </si>
  <si>
    <t>Egypt-Sudan</t>
  </si>
  <si>
    <t>egypt_sudan</t>
  </si>
  <si>
    <t>diaGroup</t>
  </si>
  <si>
    <t>El-Balyana</t>
  </si>
  <si>
    <t>el_balyana</t>
  </si>
  <si>
    <t>361435</t>
  </si>
  <si>
    <t>El-Hamma</t>
  </si>
  <si>
    <t>el_hamma</t>
  </si>
  <si>
    <t>2470606</t>
  </si>
  <si>
    <t>El Haouz</t>
  </si>
  <si>
    <t>el_haouz</t>
  </si>
  <si>
    <t>2550180</t>
  </si>
  <si>
    <t>El Jadida</t>
  </si>
  <si>
    <t>el_jadida</t>
  </si>
  <si>
    <t>2550078</t>
  </si>
  <si>
    <t>El-Karantina</t>
  </si>
  <si>
    <t>el_karantina</t>
  </si>
  <si>
    <t>6274963</t>
  </si>
  <si>
    <t>El-Khiara</t>
  </si>
  <si>
    <t>el_khiara</t>
  </si>
  <si>
    <t>279726</t>
  </si>
  <si>
    <t>El-Māy</t>
  </si>
  <si>
    <t>el_maay</t>
  </si>
  <si>
    <t>2473569</t>
  </si>
  <si>
    <t>El Marj</t>
  </si>
  <si>
    <t>el_marj</t>
  </si>
  <si>
    <t>279498</t>
  </si>
  <si>
    <t>El-Qaa</t>
  </si>
  <si>
    <t>el_qaa</t>
  </si>
  <si>
    <t>279268</t>
  </si>
  <si>
    <t>Erbil</t>
  </si>
  <si>
    <t>erbil</t>
  </si>
  <si>
    <t>95446</t>
  </si>
  <si>
    <t>Eritrea</t>
  </si>
  <si>
    <t>eritrea</t>
  </si>
  <si>
    <t>338010</t>
  </si>
  <si>
    <t>Errachidia</t>
  </si>
  <si>
    <t>errachidia</t>
  </si>
  <si>
    <t>7280528</t>
  </si>
  <si>
    <t>erriadh</t>
  </si>
  <si>
    <t>2473738</t>
  </si>
  <si>
    <t>Essaouira</t>
  </si>
  <si>
    <t>essaouira</t>
  </si>
  <si>
    <t>118817185</t>
  </si>
  <si>
    <t>Faiyum</t>
  </si>
  <si>
    <t>faiyum</t>
  </si>
  <si>
    <t>361323</t>
  </si>
  <si>
    <t>Farafra</t>
  </si>
  <si>
    <t>farafra</t>
  </si>
  <si>
    <t>350661</t>
  </si>
  <si>
    <t>Faynān</t>
  </si>
  <si>
    <t>faynan</t>
  </si>
  <si>
    <t>7015785</t>
  </si>
  <si>
    <t>Fez</t>
  </si>
  <si>
    <t>fez</t>
  </si>
  <si>
    <t>2548885</t>
  </si>
  <si>
    <t>Fezzan</t>
  </si>
  <si>
    <t>fezzan</t>
  </si>
  <si>
    <t>2217514</t>
  </si>
  <si>
    <t>Gabès</t>
  </si>
  <si>
    <t>gabes</t>
  </si>
  <si>
    <t>2468369</t>
  </si>
  <si>
    <t>Galilee</t>
  </si>
  <si>
    <t>galilee</t>
  </si>
  <si>
    <t>294932</t>
  </si>
  <si>
    <t>Gaza</t>
  </si>
  <si>
    <t>gaza</t>
  </si>
  <si>
    <t>281133</t>
  </si>
  <si>
    <t>Gharif al-Ghuzlan</t>
  </si>
  <si>
    <t>gharif_al_ghuzlan</t>
  </si>
  <si>
    <t>356671</t>
  </si>
  <si>
    <t>Ghasri-Gozo</t>
  </si>
  <si>
    <t>ghasri</t>
  </si>
  <si>
    <t>8299713</t>
  </si>
  <si>
    <t>Ghawr aṣ-Ṣāfi</t>
  </si>
  <si>
    <t>ghawr_al_safi</t>
  </si>
  <si>
    <t>247132</t>
  </si>
  <si>
    <t>Ghazaouet</t>
  </si>
  <si>
    <t>ghazaouet</t>
  </si>
  <si>
    <t>2496042</t>
  </si>
  <si>
    <t>Golan Heights</t>
  </si>
  <si>
    <t>golan_heights</t>
  </si>
  <si>
    <t>173708</t>
  </si>
  <si>
    <t>Gozo</t>
  </si>
  <si>
    <t>gozo</t>
  </si>
  <si>
    <t>2563049</t>
  </si>
  <si>
    <t>Granada</t>
  </si>
  <si>
    <t>granada</t>
  </si>
  <si>
    <t>2517117</t>
  </si>
  <si>
    <t>Guellala</t>
  </si>
  <si>
    <t>guellala</t>
  </si>
  <si>
    <t>2468321</t>
  </si>
  <si>
    <t>Güroymak</t>
  </si>
  <si>
    <t>gueroymak</t>
  </si>
  <si>
    <t>8630852</t>
  </si>
  <si>
    <t>Gulf</t>
  </si>
  <si>
    <t>gulf</t>
  </si>
  <si>
    <t>12218088</t>
  </si>
  <si>
    <t>gulf_reg</t>
  </si>
  <si>
    <t>Gzenaya</t>
  </si>
  <si>
    <t>gzenaya</t>
  </si>
  <si>
    <t>6546456</t>
  </si>
  <si>
    <t>Habban</t>
  </si>
  <si>
    <t>habban</t>
  </si>
  <si>
    <t>7340056</t>
  </si>
  <si>
    <t>Hadramaut</t>
  </si>
  <si>
    <t>hadramaut</t>
  </si>
  <si>
    <t>75410</t>
  </si>
  <si>
    <t>Haifa</t>
  </si>
  <si>
    <t>haifa</t>
  </si>
  <si>
    <t>294801</t>
  </si>
  <si>
    <t>Hail</t>
  </si>
  <si>
    <t>hail</t>
  </si>
  <si>
    <t>106281</t>
  </si>
  <si>
    <t>hail_reg</t>
  </si>
  <si>
    <t>106280</t>
  </si>
  <si>
    <t>H̱ajajra</t>
  </si>
  <si>
    <t>hajajra</t>
  </si>
  <si>
    <t>8264716</t>
  </si>
  <si>
    <t>H̱alaf Tabbash</t>
  </si>
  <si>
    <t>halaf_tabbash</t>
  </si>
  <si>
    <t>8264717</t>
  </si>
  <si>
    <t>Halfa al-Jadīda (New Halfa)</t>
  </si>
  <si>
    <t>halfa_al-jadida</t>
  </si>
  <si>
    <t>374272</t>
  </si>
  <si>
    <t>Hama</t>
  </si>
  <si>
    <t>hama</t>
  </si>
  <si>
    <t>170017</t>
  </si>
  <si>
    <t>H̱amam</t>
  </si>
  <si>
    <t>hamam</t>
  </si>
  <si>
    <t>8309927</t>
  </si>
  <si>
    <t>Haouch El Harime</t>
  </si>
  <si>
    <t>haouch_el_harime</t>
  </si>
  <si>
    <t>274203</t>
  </si>
  <si>
    <t>Haouch en Nebi</t>
  </si>
  <si>
    <t>haouch_el_nabi</t>
  </si>
  <si>
    <t>274198</t>
  </si>
  <si>
    <t>Harduf</t>
  </si>
  <si>
    <t>harduf</t>
  </si>
  <si>
    <t>8265537</t>
  </si>
  <si>
    <t>Haret ej Jdide</t>
  </si>
  <si>
    <t>haret_ej_jdide</t>
  </si>
  <si>
    <t>274471</t>
  </si>
  <si>
    <t>harran</t>
  </si>
  <si>
    <t>439166</t>
  </si>
  <si>
    <t>Harran-Urfa</t>
  </si>
  <si>
    <t>harran_urfa</t>
  </si>
  <si>
    <t>312531</t>
  </si>
  <si>
    <t>Hasankeyf</t>
  </si>
  <si>
    <t>hasankeyf</t>
  </si>
  <si>
    <t>312479</t>
  </si>
  <si>
    <t>Hasköy</t>
  </si>
  <si>
    <t>haskoey</t>
  </si>
  <si>
    <t>8630863</t>
  </si>
  <si>
    <t>Hatay-Antioch</t>
  </si>
  <si>
    <t>hatay_antioch</t>
  </si>
  <si>
    <t>Hauran</t>
  </si>
  <si>
    <t>hauran</t>
  </si>
  <si>
    <t>169734</t>
  </si>
  <si>
    <t>Ḥawāyiǧ aḏ-Ḏyāb</t>
  </si>
  <si>
    <t>hawayig_ad_dyab</t>
  </si>
  <si>
    <t>7632490</t>
  </si>
  <si>
    <t>Ḥawrān</t>
  </si>
  <si>
    <t>hawraan</t>
  </si>
  <si>
    <t>249155</t>
  </si>
  <si>
    <t>Hebron</t>
  </si>
  <si>
    <t>hebron</t>
  </si>
  <si>
    <t>285066</t>
  </si>
  <si>
    <t>Hejaz</t>
  </si>
  <si>
    <t>hejaz</t>
  </si>
  <si>
    <t>109600</t>
  </si>
  <si>
    <t>Hillah</t>
  </si>
  <si>
    <t>hillah</t>
  </si>
  <si>
    <t>99347</t>
  </si>
  <si>
    <t>Hit</t>
  </si>
  <si>
    <t>hit</t>
  </si>
  <si>
    <t>95788</t>
  </si>
  <si>
    <t>Hofuf</t>
  </si>
  <si>
    <t>hofuf</t>
  </si>
  <si>
    <t>109571</t>
  </si>
  <si>
    <t>Holon</t>
  </si>
  <si>
    <t>holon</t>
  </si>
  <si>
    <t>294751</t>
  </si>
  <si>
    <t>Homs</t>
  </si>
  <si>
    <t>homs</t>
  </si>
  <si>
    <t>169577</t>
  </si>
  <si>
    <t>Houmt Souk</t>
  </si>
  <si>
    <t>houmt_souk</t>
  </si>
  <si>
    <t>2470384</t>
  </si>
  <si>
    <t>Hujairat-Dhara</t>
  </si>
  <si>
    <t>hujeirat_dhara</t>
  </si>
  <si>
    <t>11979651</t>
  </si>
  <si>
    <t>Hurghada</t>
  </si>
  <si>
    <t>hurghada</t>
  </si>
  <si>
    <t>361291</t>
  </si>
  <si>
    <t>Hyayna</t>
  </si>
  <si>
    <t>hyayna</t>
  </si>
  <si>
    <t>2527366</t>
  </si>
  <si>
    <t>Ibb</t>
  </si>
  <si>
    <t>ibb</t>
  </si>
  <si>
    <t>74477</t>
  </si>
  <si>
    <t>Ibri</t>
  </si>
  <si>
    <t>ibri</t>
  </si>
  <si>
    <t>287830</t>
  </si>
  <si>
    <t>Ibṭīn</t>
  </si>
  <si>
    <t>ibtin</t>
  </si>
  <si>
    <t>294661</t>
  </si>
  <si>
    <t>İdil (Āzex)</t>
  </si>
  <si>
    <t>idil_aazex</t>
  </si>
  <si>
    <t>442034</t>
  </si>
  <si>
    <t>Idlib</t>
  </si>
  <si>
    <t>idlib</t>
  </si>
  <si>
    <t>169389</t>
  </si>
  <si>
    <t>Iksal</t>
  </si>
  <si>
    <t>iksal</t>
  </si>
  <si>
    <t>294658</t>
  </si>
  <si>
    <t>Il-Minyā</t>
  </si>
  <si>
    <t>il_minya</t>
  </si>
  <si>
    <t>360686</t>
  </si>
  <si>
    <t>il-Xalīl(Hebron)</t>
  </si>
  <si>
    <t>il_xalil</t>
  </si>
  <si>
    <t>ilBashandi</t>
  </si>
  <si>
    <t>ilbashandi</t>
  </si>
  <si>
    <t>Iran</t>
  </si>
  <si>
    <t>iran</t>
  </si>
  <si>
    <t>130758</t>
  </si>
  <si>
    <t>Iraq</t>
  </si>
  <si>
    <t>iraq</t>
  </si>
  <si>
    <t>99237</t>
  </si>
  <si>
    <t>Irbid</t>
  </si>
  <si>
    <t>irbid</t>
  </si>
  <si>
    <t>248946</t>
  </si>
  <si>
    <t>irbid_reg</t>
  </si>
  <si>
    <t>248944</t>
  </si>
  <si>
    <t>Isawiya</t>
  </si>
  <si>
    <t>isawiya</t>
  </si>
  <si>
    <t>294643</t>
  </si>
  <si>
    <t>Iskenderun</t>
  </si>
  <si>
    <t>iskenderun</t>
  </si>
  <si>
    <t>311111</t>
  </si>
  <si>
    <t>Ismant</t>
  </si>
  <si>
    <t>ismant</t>
  </si>
  <si>
    <t>355453</t>
  </si>
  <si>
    <t>Israel</t>
  </si>
  <si>
    <t>israel</t>
  </si>
  <si>
    <t>294640</t>
  </si>
  <si>
    <t>iṭ-Ṭayybe</t>
  </si>
  <si>
    <t>it_tayybe</t>
  </si>
  <si>
    <t>7870314</t>
  </si>
  <si>
    <t>Izki</t>
  </si>
  <si>
    <t>izki</t>
  </si>
  <si>
    <t>287814</t>
  </si>
  <si>
    <t>Jabal al-Druze</t>
  </si>
  <si>
    <t>jabal_al_druze</t>
  </si>
  <si>
    <t>170560</t>
  </si>
  <si>
    <t>Jabal al Malbad</t>
  </si>
  <si>
    <t>jabal_al_malbad</t>
  </si>
  <si>
    <t>442832</t>
  </si>
  <si>
    <t>Jabal at Tīh</t>
  </si>
  <si>
    <t>jabal_at_tih</t>
  </si>
  <si>
    <t>347305</t>
  </si>
  <si>
    <t>Jabal Awliya</t>
  </si>
  <si>
    <t>jabal_awliya</t>
  </si>
  <si>
    <t>378070</t>
  </si>
  <si>
    <t>Jabal Fayfa</t>
  </si>
  <si>
    <t>jabal_fayfa</t>
  </si>
  <si>
    <t>106666</t>
  </si>
  <si>
    <t>Jabal Sarābīt al Khādim</t>
  </si>
  <si>
    <t>jabal_sarabit_al_khadim</t>
  </si>
  <si>
    <t>349599</t>
  </si>
  <si>
    <t>Jabal Šammar</t>
  </si>
  <si>
    <t>jabal_shammar</t>
  </si>
  <si>
    <t>105532</t>
  </si>
  <si>
    <t>Jaffa</t>
  </si>
  <si>
    <t>jaffa</t>
  </si>
  <si>
    <t>293253</t>
  </si>
  <si>
    <t>Jaghjagh</t>
  </si>
  <si>
    <t>jaghjagh</t>
  </si>
  <si>
    <t>320062</t>
  </si>
  <si>
    <t>Jbala</t>
  </si>
  <si>
    <t>jbala</t>
  </si>
  <si>
    <t>10952626</t>
  </si>
  <si>
    <t>Jbel Rat</t>
  </si>
  <si>
    <t>jbel_rat</t>
  </si>
  <si>
    <t>2538386</t>
  </si>
  <si>
    <t>Jeddah</t>
  </si>
  <si>
    <t>jeddah</t>
  </si>
  <si>
    <t>105343</t>
  </si>
  <si>
    <t>Jerusalem</t>
  </si>
  <si>
    <t>jerusalem</t>
  </si>
  <si>
    <t>281184</t>
  </si>
  <si>
    <t>Jibāl ash Sharāh</t>
  </si>
  <si>
    <t>jibal_ash_sharah</t>
  </si>
  <si>
    <t>246895</t>
  </si>
  <si>
    <t>Jibla</t>
  </si>
  <si>
    <t>jibla</t>
  </si>
  <si>
    <t>74185</t>
  </si>
  <si>
    <t>Jijel</t>
  </si>
  <si>
    <t>jijel</t>
  </si>
  <si>
    <t>2492913</t>
  </si>
  <si>
    <t>Jisr az-Zarqa</t>
  </si>
  <si>
    <t>jisr_az_zarqa</t>
  </si>
  <si>
    <t>294626</t>
  </si>
  <si>
    <t>Jnanate</t>
  </si>
  <si>
    <t>jnanate</t>
  </si>
  <si>
    <t>11042130</t>
  </si>
  <si>
    <t>Jordan</t>
  </si>
  <si>
    <t>jordan</t>
  </si>
  <si>
    <t>248816</t>
  </si>
  <si>
    <t>Juba</t>
  </si>
  <si>
    <t>juba</t>
  </si>
  <si>
    <t>373303</t>
  </si>
  <si>
    <t>Jubb'adin</t>
  </si>
  <si>
    <t>jubb_adin</t>
  </si>
  <si>
    <t>169008</t>
  </si>
  <si>
    <t>Jurdeih</t>
  </si>
  <si>
    <t>jurdeih</t>
  </si>
  <si>
    <t>294617</t>
  </si>
  <si>
    <t>Ka'abiyya</t>
  </si>
  <si>
    <t>kaabiyya</t>
  </si>
  <si>
    <t>8265524</t>
  </si>
  <si>
    <t>Kadugli</t>
  </si>
  <si>
    <t>kadugli</t>
  </si>
  <si>
    <t>373141</t>
  </si>
  <si>
    <t>Kafr ʔAna</t>
  </si>
  <si>
    <t>kafr_ana</t>
  </si>
  <si>
    <t>293962</t>
  </si>
  <si>
    <t>Kafr Yasif</t>
  </si>
  <si>
    <t>kafr_yasif</t>
  </si>
  <si>
    <t>294600</t>
  </si>
  <si>
    <t>ač-Čammāna</t>
  </si>
  <si>
    <t>kammaana</t>
  </si>
  <si>
    <t>9618076</t>
  </si>
  <si>
    <t>Kartmin</t>
  </si>
  <si>
    <t>kartmin</t>
  </si>
  <si>
    <t>297404</t>
  </si>
  <si>
    <t>Kenitra</t>
  </si>
  <si>
    <t>kenitra</t>
  </si>
  <si>
    <t>2544571</t>
  </si>
  <si>
    <t>Kerkennah Mellita</t>
  </si>
  <si>
    <t>kerkennah_mellita</t>
  </si>
  <si>
    <t>2469328</t>
  </si>
  <si>
    <t>Kerkennah Oulad Bou Ali</t>
  </si>
  <si>
    <t>kerkennah_oulad_bou_ali</t>
  </si>
  <si>
    <t>2473026</t>
  </si>
  <si>
    <t>Kerkennah Oulad Kacem</t>
  </si>
  <si>
    <t>kerkennah_oulad_kacem</t>
  </si>
  <si>
    <t>2473056</t>
  </si>
  <si>
    <t>Kfar Abida</t>
  </si>
  <si>
    <t>kfar_aabida</t>
  </si>
  <si>
    <t>272807</t>
  </si>
  <si>
    <t>Kfar Sghab</t>
  </si>
  <si>
    <t>kfar_sghab</t>
  </si>
  <si>
    <t>272829</t>
  </si>
  <si>
    <t>Khalaf</t>
  </si>
  <si>
    <t>khalaf</t>
  </si>
  <si>
    <t>128105</t>
  </si>
  <si>
    <t>Khalde</t>
  </si>
  <si>
    <t>khalde</t>
  </si>
  <si>
    <t>6274035</t>
  </si>
  <si>
    <t>Khartoum</t>
  </si>
  <si>
    <t>khartoum</t>
  </si>
  <si>
    <t>379252</t>
  </si>
  <si>
    <t>Khashm al Qirbah</t>
  </si>
  <si>
    <t>khashm</t>
  </si>
  <si>
    <t>372527</t>
  </si>
  <si>
    <t>Khawālid</t>
  </si>
  <si>
    <t>khawalid</t>
  </si>
  <si>
    <t>11979650</t>
  </si>
  <si>
    <t>Khatuniya</t>
  </si>
  <si>
    <t>khawetna</t>
  </si>
  <si>
    <t>168210</t>
  </si>
  <si>
    <t>Khaybar</t>
  </si>
  <si>
    <t>khaybar</t>
  </si>
  <si>
    <t>10972297</t>
  </si>
  <si>
    <t>Khirbat Ra's al Wa'r</t>
  </si>
  <si>
    <t>khirbat_ras_al_war</t>
  </si>
  <si>
    <t>167980</t>
  </si>
  <si>
    <t>Khirbet Selm</t>
  </si>
  <si>
    <t>khirbet_selm</t>
  </si>
  <si>
    <t>272376</t>
  </si>
  <si>
    <t>Khorasan</t>
  </si>
  <si>
    <t>khorasan</t>
  </si>
  <si>
    <t>127374</t>
  </si>
  <si>
    <t>Khorramshahr</t>
  </si>
  <si>
    <t>khorramshahr</t>
  </si>
  <si>
    <t>127319</t>
  </si>
  <si>
    <t>Khuzestan</t>
  </si>
  <si>
    <t>khuzestan</t>
  </si>
  <si>
    <t>127082</t>
  </si>
  <si>
    <t>Kibera</t>
  </si>
  <si>
    <t>kibera</t>
  </si>
  <si>
    <t>192495</t>
  </si>
  <si>
    <t>Kirkuk</t>
  </si>
  <si>
    <t>kirkuk</t>
  </si>
  <si>
    <t>94787</t>
  </si>
  <si>
    <t>Korba</t>
  </si>
  <si>
    <t>korba</t>
  </si>
  <si>
    <t>2467920</t>
  </si>
  <si>
    <t>Kormakitis</t>
  </si>
  <si>
    <t>kormakitis</t>
  </si>
  <si>
    <t>10200799</t>
  </si>
  <si>
    <t>Ksar el-Kebir</t>
  </si>
  <si>
    <t>ksar_el_kebir</t>
  </si>
  <si>
    <t>2544001</t>
  </si>
  <si>
    <t>Kueiris</t>
  </si>
  <si>
    <t>kueiris</t>
  </si>
  <si>
    <t>94051</t>
  </si>
  <si>
    <t>Kurdufan</t>
  </si>
  <si>
    <t>kurdufan</t>
  </si>
  <si>
    <t>371853</t>
  </si>
  <si>
    <t>Kursi</t>
  </si>
  <si>
    <t>kursi</t>
  </si>
  <si>
    <t>173586</t>
  </si>
  <si>
    <t>Kuwait</t>
  </si>
  <si>
    <t>kuwait</t>
  </si>
  <si>
    <t>285570</t>
  </si>
  <si>
    <t>Kuwait City</t>
  </si>
  <si>
    <t>kuwait_city</t>
  </si>
  <si>
    <t>285787</t>
  </si>
  <si>
    <t>Kwayriš</t>
  </si>
  <si>
    <t>kwayrish</t>
  </si>
  <si>
    <t>12078848</t>
  </si>
  <si>
    <t>Larache</t>
  </si>
  <si>
    <t>larache</t>
  </si>
  <si>
    <t>2543549</t>
  </si>
  <si>
    <t>Lebanon</t>
  </si>
  <si>
    <t>lebanon</t>
  </si>
  <si>
    <t>272103</t>
  </si>
  <si>
    <t>Levant</t>
  </si>
  <si>
    <t>levant</t>
  </si>
  <si>
    <t>11172319</t>
  </si>
  <si>
    <t>Libya</t>
  </si>
  <si>
    <t>libya</t>
  </si>
  <si>
    <t>2215636</t>
  </si>
  <si>
    <t>Lod</t>
  </si>
  <si>
    <t>lod</t>
  </si>
  <si>
    <t>294421</t>
  </si>
  <si>
    <t>Luxor</t>
  </si>
  <si>
    <t>luxor</t>
  </si>
  <si>
    <t>360502</t>
  </si>
  <si>
    <t>M'hamid</t>
  </si>
  <si>
    <t>m_hamid</t>
  </si>
  <si>
    <t>2549574</t>
  </si>
  <si>
    <t>Mabyan</t>
  </si>
  <si>
    <t>mabyan</t>
  </si>
  <si>
    <t>6940718</t>
  </si>
  <si>
    <t>Madaba</t>
  </si>
  <si>
    <t>madaba</t>
  </si>
  <si>
    <t>248370</t>
  </si>
  <si>
    <t>Maghreb</t>
  </si>
  <si>
    <t>maghreb</t>
  </si>
  <si>
    <t>Mahdia</t>
  </si>
  <si>
    <t>mahdia</t>
  </si>
  <si>
    <t>2473572</t>
  </si>
  <si>
    <t>Māḥiṣ</t>
  </si>
  <si>
    <t>mahis</t>
  </si>
  <si>
    <t>248299</t>
  </si>
  <si>
    <t>Maiduguri</t>
  </si>
  <si>
    <t>maiduguri</t>
  </si>
  <si>
    <t>2331447</t>
  </si>
  <si>
    <t>Majdal Shams</t>
  </si>
  <si>
    <t>majdal_shams</t>
  </si>
  <si>
    <t>167444</t>
  </si>
  <si>
    <t>Majzar</t>
  </si>
  <si>
    <t>majzar</t>
  </si>
  <si>
    <t>34717</t>
  </si>
  <si>
    <t>Mallīta</t>
  </si>
  <si>
    <t>mallita</t>
  </si>
  <si>
    <t>2469329</t>
  </si>
  <si>
    <t>Malōt Taršīḥa</t>
  </si>
  <si>
    <t>maloot_tarshiiha</t>
  </si>
  <si>
    <t>293420</t>
  </si>
  <si>
    <t>Malta</t>
  </si>
  <si>
    <t>malta</t>
  </si>
  <si>
    <t>2562770</t>
  </si>
  <si>
    <t>Manakhah</t>
  </si>
  <si>
    <t>manakhah</t>
  </si>
  <si>
    <t>73091</t>
  </si>
  <si>
    <t>Manama</t>
  </si>
  <si>
    <t>manama</t>
  </si>
  <si>
    <t>290340</t>
  </si>
  <si>
    <t>Manbiǧ</t>
  </si>
  <si>
    <t>manbij</t>
  </si>
  <si>
    <t>167357</t>
  </si>
  <si>
    <t>Mandīša</t>
  </si>
  <si>
    <t>mandisha</t>
  </si>
  <si>
    <t>352916</t>
  </si>
  <si>
    <t>Mardin</t>
  </si>
  <si>
    <t>mardin</t>
  </si>
  <si>
    <t>304797</t>
  </si>
  <si>
    <t>Mārib</t>
  </si>
  <si>
    <t>marib</t>
  </si>
  <si>
    <t>72968</t>
  </si>
  <si>
    <t>Marouahine</t>
  </si>
  <si>
    <t>marouahine</t>
  </si>
  <si>
    <t>271087</t>
  </si>
  <si>
    <t>Marrakesh</t>
  </si>
  <si>
    <t>marrakesh</t>
  </si>
  <si>
    <t>2542997</t>
  </si>
  <si>
    <t>Marsa Maṭrūḥ</t>
  </si>
  <si>
    <t>marsamatruh</t>
  </si>
  <si>
    <t>352733</t>
  </si>
  <si>
    <t>Mash Had</t>
  </si>
  <si>
    <t>mashhad</t>
  </si>
  <si>
    <t>294321</t>
  </si>
  <si>
    <t>Masira</t>
  </si>
  <si>
    <t>masira</t>
  </si>
  <si>
    <t>287295</t>
  </si>
  <si>
    <t>Masmouda</t>
  </si>
  <si>
    <t>masmouda</t>
  </si>
  <si>
    <t>10992770</t>
  </si>
  <si>
    <t>Massaguet</t>
  </si>
  <si>
    <t>massaguet</t>
  </si>
  <si>
    <t>2428231</t>
  </si>
  <si>
    <t>Massawa</t>
  </si>
  <si>
    <t>massawa</t>
  </si>
  <si>
    <t>330546</t>
  </si>
  <si>
    <t>Mauritania</t>
  </si>
  <si>
    <t>mauritania</t>
  </si>
  <si>
    <t>2378080</t>
  </si>
  <si>
    <t>Mayadin</t>
  </si>
  <si>
    <t>mayadin</t>
  </si>
  <si>
    <t>173480</t>
  </si>
  <si>
    <t>Mazara del Vallo</t>
  </si>
  <si>
    <t>mazara_del_vallo</t>
  </si>
  <si>
    <t>2524205</t>
  </si>
  <si>
    <t>Mazouna</t>
  </si>
  <si>
    <t>mazouna</t>
  </si>
  <si>
    <t>2489987</t>
  </si>
  <si>
    <t>Mecca</t>
  </si>
  <si>
    <t>mecca</t>
  </si>
  <si>
    <t>104515</t>
  </si>
  <si>
    <t>Médéa</t>
  </si>
  <si>
    <t>medea</t>
  </si>
  <si>
    <t>2488835</t>
  </si>
  <si>
    <t>Mehdia</t>
  </si>
  <si>
    <t>mehdia</t>
  </si>
  <si>
    <t>2542768</t>
  </si>
  <si>
    <t>Meknes</t>
  </si>
  <si>
    <t>meknes</t>
  </si>
  <si>
    <t>2542715</t>
  </si>
  <si>
    <t>Mersin</t>
  </si>
  <si>
    <t>mersin</t>
  </si>
  <si>
    <t>304531</t>
  </si>
  <si>
    <t>Mesopotamia</t>
  </si>
  <si>
    <t>mesopotamia</t>
  </si>
  <si>
    <t>Mḥardi</t>
  </si>
  <si>
    <t>mhardi</t>
  </si>
  <si>
    <t>166742</t>
  </si>
  <si>
    <t>Mila</t>
  </si>
  <si>
    <t>mila</t>
  </si>
  <si>
    <t>2487452</t>
  </si>
  <si>
    <t>Misrata</t>
  </si>
  <si>
    <t>misrata</t>
  </si>
  <si>
    <t>2214846</t>
  </si>
  <si>
    <t>Mocha</t>
  </si>
  <si>
    <t>mocha</t>
  </si>
  <si>
    <t>78751</t>
  </si>
  <si>
    <t>Mohafazat Aakkar</t>
  </si>
  <si>
    <t>mohafazat_aakkar</t>
  </si>
  <si>
    <t>6201370</t>
  </si>
  <si>
    <t>Morocco</t>
  </si>
  <si>
    <t>morocco</t>
  </si>
  <si>
    <t>2542007</t>
  </si>
  <si>
    <t>Mostaganem</t>
  </si>
  <si>
    <t>mostaganem</t>
  </si>
  <si>
    <t>2487134</t>
  </si>
  <si>
    <t>Mosul</t>
  </si>
  <si>
    <t>mosul</t>
  </si>
  <si>
    <t>99072</t>
  </si>
  <si>
    <t>Mount Carmel</t>
  </si>
  <si>
    <t>mount_carmel</t>
  </si>
  <si>
    <t>294579</t>
  </si>
  <si>
    <t>Mughayyir as-Sirḥān</t>
  </si>
  <si>
    <t>mughayyir_as_sirhan</t>
  </si>
  <si>
    <t>250523</t>
  </si>
  <si>
    <t>Muhāfazat al 'Aqabah</t>
  </si>
  <si>
    <t>muhafazat_al_aqabah</t>
  </si>
  <si>
    <t>443122</t>
  </si>
  <si>
    <t>Muhāfazat Ma'ān</t>
  </si>
  <si>
    <t>muhafazat_maan</t>
  </si>
  <si>
    <t>248380</t>
  </si>
  <si>
    <t>Muharraq</t>
  </si>
  <si>
    <t>muharraq</t>
  </si>
  <si>
    <t>290332</t>
  </si>
  <si>
    <t>Muhradah</t>
  </si>
  <si>
    <t>muhradah</t>
  </si>
  <si>
    <t>Muxayyam al-Baqʕah</t>
  </si>
  <si>
    <t>mukhayyam_al_baqah</t>
  </si>
  <si>
    <t>250040</t>
  </si>
  <si>
    <t>Murzuq</t>
  </si>
  <si>
    <t>murzuq</t>
  </si>
  <si>
    <t>2214603</t>
  </si>
  <si>
    <t>Musandam</t>
  </si>
  <si>
    <t>musandam</t>
  </si>
  <si>
    <t>411741</t>
  </si>
  <si>
    <t>Muscat</t>
  </si>
  <si>
    <t>muscat</t>
  </si>
  <si>
    <t>287286</t>
  </si>
  <si>
    <t>Muwaysa</t>
  </si>
  <si>
    <t>muwaysa</t>
  </si>
  <si>
    <t>166518</t>
  </si>
  <si>
    <t>Mwēs</t>
  </si>
  <si>
    <t>mwees</t>
  </si>
  <si>
    <t>443904</t>
  </si>
  <si>
    <t>Mzab</t>
  </si>
  <si>
    <t>mzab</t>
  </si>
  <si>
    <t>2486601</t>
  </si>
  <si>
    <t>Naameh</t>
  </si>
  <si>
    <t>naameh</t>
  </si>
  <si>
    <t>7839998</t>
  </si>
  <si>
    <t>Nabaa el Faaour</t>
  </si>
  <si>
    <t>nabaa_el_faaour</t>
  </si>
  <si>
    <t>275263</t>
  </si>
  <si>
    <t>Nabeul</t>
  </si>
  <si>
    <t>nabeul</t>
  </si>
  <si>
    <t>2468579</t>
  </si>
  <si>
    <t>Nabk</t>
  </si>
  <si>
    <t>nabk</t>
  </si>
  <si>
    <t>173193</t>
  </si>
  <si>
    <t>Nablus</t>
  </si>
  <si>
    <t>nablus</t>
  </si>
  <si>
    <t>282615</t>
  </si>
  <si>
    <t>Najd</t>
  </si>
  <si>
    <t>najd</t>
  </si>
  <si>
    <t>103644</t>
  </si>
  <si>
    <t>Najran</t>
  </si>
  <si>
    <t>najran</t>
  </si>
  <si>
    <t>103630</t>
  </si>
  <si>
    <t>Nakhal Diqla</t>
  </si>
  <si>
    <t>nakhal_diqla</t>
  </si>
  <si>
    <t>345953</t>
  </si>
  <si>
    <t>Nasiriyyah</t>
  </si>
  <si>
    <t>nasiriyyah</t>
  </si>
  <si>
    <t>98854</t>
  </si>
  <si>
    <t>Natl</t>
  </si>
  <si>
    <t>natl</t>
  </si>
  <si>
    <t>247726</t>
  </si>
  <si>
    <t>Nazareth</t>
  </si>
  <si>
    <t>nazareth</t>
  </si>
  <si>
    <t>294098</t>
  </si>
  <si>
    <t>Ndjamena</t>
  </si>
  <si>
    <t>ndjamena</t>
  </si>
  <si>
    <t>2427123</t>
  </si>
  <si>
    <t>Nefza</t>
  </si>
  <si>
    <t>nefza</t>
  </si>
  <si>
    <t>2473663</t>
  </si>
  <si>
    <t>Nefzaoua</t>
  </si>
  <si>
    <t>nefzaoua</t>
  </si>
  <si>
    <t>2468557</t>
  </si>
  <si>
    <t>Negev</t>
  </si>
  <si>
    <t>negev</t>
  </si>
  <si>
    <t>294886</t>
  </si>
  <si>
    <t>Nigeria</t>
  </si>
  <si>
    <t>nigeria</t>
  </si>
  <si>
    <t>2328926</t>
  </si>
  <si>
    <t>Nouakchott</t>
  </si>
  <si>
    <t>nouakchott</t>
  </si>
  <si>
    <t>2377450</t>
  </si>
  <si>
    <t>Nusaybin</t>
  </si>
  <si>
    <t>nusaybin</t>
  </si>
  <si>
    <t>8378519</t>
  </si>
  <si>
    <t>Nuwaybi'a</t>
  </si>
  <si>
    <t>nuwaybia</t>
  </si>
  <si>
    <t>350893</t>
  </si>
  <si>
    <t>Obock</t>
  </si>
  <si>
    <t>obock</t>
  </si>
  <si>
    <t>221527</t>
  </si>
  <si>
    <t>Oman</t>
  </si>
  <si>
    <t>oman</t>
  </si>
  <si>
    <t>286963</t>
  </si>
  <si>
    <t>Omdurman</t>
  </si>
  <si>
    <t>omdurman</t>
  </si>
  <si>
    <t>365137</t>
  </si>
  <si>
    <t>Oran</t>
  </si>
  <si>
    <t>oran</t>
  </si>
  <si>
    <t>2485926</t>
  </si>
  <si>
    <t>Ouaday</t>
  </si>
  <si>
    <t>ouaday</t>
  </si>
  <si>
    <t>2426573</t>
  </si>
  <si>
    <t>Ouaddai</t>
  </si>
  <si>
    <t>ouaddai</t>
  </si>
  <si>
    <t>242247</t>
  </si>
  <si>
    <t>Ouazzane</t>
  </si>
  <si>
    <t>ouazzane</t>
  </si>
  <si>
    <t>2540810</t>
  </si>
  <si>
    <t>Oued Drâa</t>
  </si>
  <si>
    <t>oued_draa</t>
  </si>
  <si>
    <t>2551034</t>
  </si>
  <si>
    <t>Oujda</t>
  </si>
  <si>
    <t>oujda</t>
  </si>
  <si>
    <t>2540483</t>
  </si>
  <si>
    <t>Ourtzagh</t>
  </si>
  <si>
    <t>ourtzagh</t>
  </si>
  <si>
    <t>2538652</t>
  </si>
  <si>
    <t>Outat El Haj</t>
  </si>
  <si>
    <t>outat_el_haj</t>
  </si>
  <si>
    <t>2538573</t>
  </si>
  <si>
    <t>Palestine</t>
  </si>
  <si>
    <t>palestine</t>
  </si>
  <si>
    <t>6254930</t>
  </si>
  <si>
    <t>Palmyra</t>
  </si>
  <si>
    <t>palmyra</t>
  </si>
  <si>
    <t>163808</t>
  </si>
  <si>
    <t>Peqiin</t>
  </si>
  <si>
    <t>peqiin</t>
  </si>
  <si>
    <t>295379</t>
  </si>
  <si>
    <t>Petra</t>
  </si>
  <si>
    <t>petra</t>
  </si>
  <si>
    <t>250745</t>
  </si>
  <si>
    <t>Port Said</t>
  </si>
  <si>
    <t>port_said</t>
  </si>
  <si>
    <t>358619</t>
  </si>
  <si>
    <t>Al-Qahaba</t>
  </si>
  <si>
    <t>qahaba</t>
  </si>
  <si>
    <t>10972346</t>
  </si>
  <si>
    <t>Qalamun</t>
  </si>
  <si>
    <t>qalamun</t>
  </si>
  <si>
    <t>166237</t>
  </si>
  <si>
    <t>Qal'at al Ḥuṣn</t>
  </si>
  <si>
    <t>qalat_al_husn</t>
  </si>
  <si>
    <t>10297545</t>
  </si>
  <si>
    <t>Qal'at al Jindī</t>
  </si>
  <si>
    <t>qalat_al_jindi</t>
  </si>
  <si>
    <t>6412751</t>
  </si>
  <si>
    <t>Qamishli</t>
  </si>
  <si>
    <t>qamishli</t>
  </si>
  <si>
    <t>173377</t>
  </si>
  <si>
    <t>Qanawāt</t>
  </si>
  <si>
    <t>qanawat</t>
  </si>
  <si>
    <t>166141</t>
  </si>
  <si>
    <t>Qashqadaryo</t>
  </si>
  <si>
    <t>qashqadaryo_region</t>
  </si>
  <si>
    <t>1114928</t>
  </si>
  <si>
    <t>Qaṣr 'Amrah</t>
  </si>
  <si>
    <t>qasr_amrah</t>
  </si>
  <si>
    <t>247588</t>
  </si>
  <si>
    <t>Qaṣr Ibn Wardān</t>
  </si>
  <si>
    <t>qasr_ibn_wardan</t>
  </si>
  <si>
    <t>8340897</t>
  </si>
  <si>
    <t>qassim_region</t>
  </si>
  <si>
    <t>Qatar</t>
  </si>
  <si>
    <t>qatar</t>
  </si>
  <si>
    <t>289688</t>
  </si>
  <si>
    <t>Al-Qawz</t>
  </si>
  <si>
    <t>qawz</t>
  </si>
  <si>
    <t xml:space="preserve"> 103044</t>
  </si>
  <si>
    <t>Qift</t>
  </si>
  <si>
    <t>qift</t>
  </si>
  <si>
    <t>350560</t>
  </si>
  <si>
    <t>Qismīn</t>
  </si>
  <si>
    <t>qismin</t>
  </si>
  <si>
    <t>165986</t>
  </si>
  <si>
    <t>Qsarnaba</t>
  </si>
  <si>
    <t>qsarnaba</t>
  </si>
  <si>
    <t>269216</t>
  </si>
  <si>
    <t>Qutur</t>
  </si>
  <si>
    <t>qutur</t>
  </si>
  <si>
    <t>350376</t>
  </si>
  <si>
    <t>Rabat</t>
  </si>
  <si>
    <t>rabat</t>
  </si>
  <si>
    <t>2538475</t>
  </si>
  <si>
    <t>Rabia</t>
  </si>
  <si>
    <t>rabia</t>
  </si>
  <si>
    <t>383608</t>
  </si>
  <si>
    <t>Radāʕ</t>
  </si>
  <si>
    <t>rada</t>
  </si>
  <si>
    <t>71489</t>
  </si>
  <si>
    <t>Rafaḥ</t>
  </si>
  <si>
    <t>rafah</t>
  </si>
  <si>
    <t>350350</t>
  </si>
  <si>
    <t>Rahat</t>
  </si>
  <si>
    <t>rahat</t>
  </si>
  <si>
    <t>8184212</t>
  </si>
  <si>
    <t>Rahayta</t>
  </si>
  <si>
    <t>raheita</t>
  </si>
  <si>
    <t>329665</t>
  </si>
  <si>
    <t>Ramallah</t>
  </si>
  <si>
    <t>ramallah</t>
  </si>
  <si>
    <t>282239</t>
  </si>
  <si>
    <t>Ramla</t>
  </si>
  <si>
    <t>ramla</t>
  </si>
  <si>
    <t>293768</t>
  </si>
  <si>
    <t>Ramlat Humayyir</t>
  </si>
  <si>
    <t>ramlat_humayyir</t>
  </si>
  <si>
    <t>355778</t>
  </si>
  <si>
    <t>ras_al_ayn</t>
  </si>
  <si>
    <t>165509</t>
  </si>
  <si>
    <t>Ras al-Ma'arrah</t>
  </si>
  <si>
    <t>ras_al_maarra</t>
  </si>
  <si>
    <t>167614</t>
  </si>
  <si>
    <t>Ras Banas</t>
  </si>
  <si>
    <t>ras_banas</t>
  </si>
  <si>
    <t>359296</t>
  </si>
  <si>
    <t>Rašīd</t>
  </si>
  <si>
    <t>rasid</t>
  </si>
  <si>
    <t>350203</t>
  </si>
  <si>
    <t>Rayak</t>
  </si>
  <si>
    <t>rayak</t>
  </si>
  <si>
    <t>268662</t>
  </si>
  <si>
    <t>Rayyān</t>
  </si>
  <si>
    <t>rayyan</t>
  </si>
  <si>
    <t>172939</t>
  </si>
  <si>
    <t>Rehamna</t>
  </si>
  <si>
    <t>rehamna</t>
  </si>
  <si>
    <t>2538316</t>
  </si>
  <si>
    <t>Reyhanli</t>
  </si>
  <si>
    <t>reyhanli</t>
  </si>
  <si>
    <t>302355</t>
  </si>
  <si>
    <t>Rhafsay</t>
  </si>
  <si>
    <t>rhafsay</t>
  </si>
  <si>
    <t>2548676</t>
  </si>
  <si>
    <t>Rijal Alma'</t>
  </si>
  <si>
    <t>rijal_alma</t>
  </si>
  <si>
    <t>10972267</t>
  </si>
  <si>
    <t>Riyadh</t>
  </si>
  <si>
    <t>riyadh</t>
  </si>
  <si>
    <t>108410</t>
  </si>
  <si>
    <t>Ahad Rufaydah</t>
  </si>
  <si>
    <t>rufaydah</t>
  </si>
  <si>
    <t>10972260</t>
  </si>
  <si>
    <t>Rujm ash-Shāmī al-Gharbī</t>
  </si>
  <si>
    <t>rujm_ash_shami_al_gharbi</t>
  </si>
  <si>
    <t>247273</t>
  </si>
  <si>
    <t>Rumanah</t>
  </si>
  <si>
    <t>rumanah</t>
  </si>
  <si>
    <t>6413476</t>
  </si>
  <si>
    <t>Rumṯa</t>
  </si>
  <si>
    <t>rumtha</t>
  </si>
  <si>
    <t>165537</t>
  </si>
  <si>
    <t>Ruzzāza</t>
  </si>
  <si>
    <t>ruzzaza</t>
  </si>
  <si>
    <t>11806092</t>
  </si>
  <si>
    <t>Sa'dah</t>
  </si>
  <si>
    <t>sa_dah</t>
  </si>
  <si>
    <t>71334</t>
  </si>
  <si>
    <t>Saadnayel</t>
  </si>
  <si>
    <t>saadnayel</t>
  </si>
  <si>
    <t>268495</t>
  </si>
  <si>
    <t>Sabt Alalayah</t>
  </si>
  <si>
    <t>sabt_alalayah</t>
  </si>
  <si>
    <t>11670045</t>
  </si>
  <si>
    <t>Safed</t>
  </si>
  <si>
    <t>safed</t>
  </si>
  <si>
    <t>293100</t>
  </si>
  <si>
    <t>Safi</t>
  </si>
  <si>
    <t>safi</t>
  </si>
  <si>
    <t>2537881</t>
  </si>
  <si>
    <t>Safut</t>
  </si>
  <si>
    <t>safut</t>
  </si>
  <si>
    <t>247108</t>
  </si>
  <si>
    <t>Saida</t>
  </si>
  <si>
    <t>saida</t>
  </si>
  <si>
    <t>2482572</t>
  </si>
  <si>
    <t>Saint Catherine's Monastery</t>
  </si>
  <si>
    <t>saint_catherine_s_monastery</t>
  </si>
  <si>
    <t>350564</t>
  </si>
  <si>
    <t>Salamat</t>
  </si>
  <si>
    <t>salamat</t>
  </si>
  <si>
    <t>242028</t>
  </si>
  <si>
    <t>Sale</t>
  </si>
  <si>
    <t>sale</t>
  </si>
  <si>
    <t>2537763</t>
  </si>
  <si>
    <t>Samā as-Sirḥān</t>
  </si>
  <si>
    <t>sama_as_sirhan</t>
  </si>
  <si>
    <t>247021</t>
  </si>
  <si>
    <t>Samandağ</t>
  </si>
  <si>
    <t>samandag</t>
  </si>
  <si>
    <t>9541203</t>
  </si>
  <si>
    <t>Sanaa</t>
  </si>
  <si>
    <t>sanaa</t>
  </si>
  <si>
    <t>71137</t>
  </si>
  <si>
    <t>Saoura</t>
  </si>
  <si>
    <t>saoura</t>
  </si>
  <si>
    <t>2482387</t>
  </si>
  <si>
    <t>Sason</t>
  </si>
  <si>
    <t>sason</t>
  </si>
  <si>
    <t>8630819</t>
  </si>
  <si>
    <t>Saudi Arabia</t>
  </si>
  <si>
    <t>saudi_arabia</t>
  </si>
  <si>
    <t>102358</t>
  </si>
  <si>
    <t>Sawākin</t>
  </si>
  <si>
    <t>sawakin</t>
  </si>
  <si>
    <t>367544</t>
  </si>
  <si>
    <t>Ṣēdnāya</t>
  </si>
  <si>
    <t>sednaya</t>
  </si>
  <si>
    <t>164717</t>
  </si>
  <si>
    <t>Sefrou</t>
  </si>
  <si>
    <t>sefrou</t>
  </si>
  <si>
    <t>2537545</t>
  </si>
  <si>
    <t>Sel Ḥisbān</t>
  </si>
  <si>
    <t>sel_hisban</t>
  </si>
  <si>
    <t>249092</t>
  </si>
  <si>
    <t>Senegal</t>
  </si>
  <si>
    <t>senegal</t>
  </si>
  <si>
    <t>2245662</t>
  </si>
  <si>
    <t>Settat</t>
  </si>
  <si>
    <t>settat</t>
  </si>
  <si>
    <t>2537406</t>
  </si>
  <si>
    <t>Sevilla</t>
  </si>
  <si>
    <t>sevilla</t>
  </si>
  <si>
    <t>Sfax</t>
  </si>
  <si>
    <t>sfax</t>
  </si>
  <si>
    <t>2467454</t>
  </si>
  <si>
    <t>shahaniya_reg</t>
  </si>
  <si>
    <t>289877</t>
  </si>
  <si>
    <t>Shahbā</t>
  </si>
  <si>
    <t>shahba</t>
  </si>
  <si>
    <t>164626</t>
  </si>
  <si>
    <t>shammar</t>
  </si>
  <si>
    <t>Şanlıurfa</t>
  </si>
  <si>
    <t>shanliurfa</t>
  </si>
  <si>
    <t>298333</t>
  </si>
  <si>
    <t>Šarqiyya</t>
  </si>
  <si>
    <t>sharqiyya</t>
  </si>
  <si>
    <t>360016</t>
  </si>
  <si>
    <t>Šēx Ṭābā</t>
  </si>
  <si>
    <t>sheikh_taba</t>
  </si>
  <si>
    <t>278177</t>
  </si>
  <si>
    <t>Šibli</t>
  </si>
  <si>
    <t>shibli</t>
  </si>
  <si>
    <t>386042</t>
  </si>
  <si>
    <t>Sicily</t>
  </si>
  <si>
    <t>sicily</t>
  </si>
  <si>
    <t>2523118</t>
  </si>
  <si>
    <t>Sidi Aïssa</t>
  </si>
  <si>
    <t>sidi_aissa</t>
  </si>
  <si>
    <t>2481246</t>
  </si>
  <si>
    <t>Sidi Bel Abbès</t>
  </si>
  <si>
    <t>sidi_bel_abbes</t>
  </si>
  <si>
    <t>2481007</t>
  </si>
  <si>
    <t>Sidi Bouzid</t>
  </si>
  <si>
    <t>sidi_bouzid</t>
  </si>
  <si>
    <t>2465840</t>
  </si>
  <si>
    <t>Sidon</t>
  </si>
  <si>
    <t>sidon</t>
  </si>
  <si>
    <t>268064</t>
  </si>
  <si>
    <t>Siirt</t>
  </si>
  <si>
    <t>siirt</t>
  </si>
  <si>
    <t>300822</t>
  </si>
  <si>
    <t>Silwād</t>
  </si>
  <si>
    <t>silwad</t>
  </si>
  <si>
    <t>281789</t>
  </si>
  <si>
    <t>Sinai</t>
  </si>
  <si>
    <t>sinai</t>
  </si>
  <si>
    <t>355182</t>
  </si>
  <si>
    <t>Sinbillawayn</t>
  </si>
  <si>
    <t>sinbillawayn</t>
  </si>
  <si>
    <t>359815</t>
  </si>
  <si>
    <t>Singapore</t>
  </si>
  <si>
    <t>singapore</t>
  </si>
  <si>
    <t>1880252</t>
  </si>
  <si>
    <t>Wadi Sirhan</t>
  </si>
  <si>
    <t>sirhan</t>
  </si>
  <si>
    <t>101887</t>
  </si>
  <si>
    <t>Sirwah</t>
  </si>
  <si>
    <t>sirwah</t>
  </si>
  <si>
    <t>6940839</t>
  </si>
  <si>
    <t>Siverek</t>
  </si>
  <si>
    <t>siverek</t>
  </si>
  <si>
    <t>300614</t>
  </si>
  <si>
    <t>Siwa</t>
  </si>
  <si>
    <t>siwa</t>
  </si>
  <si>
    <t>347863</t>
  </si>
  <si>
    <t>Skoura</t>
  </si>
  <si>
    <t>skoura</t>
  </si>
  <si>
    <t>6546688</t>
  </si>
  <si>
    <t>Smēčīn</t>
  </si>
  <si>
    <t>smecin</t>
  </si>
  <si>
    <t>164328</t>
  </si>
  <si>
    <t>Sohag</t>
  </si>
  <si>
    <t>sohag</t>
  </si>
  <si>
    <t>347796</t>
  </si>
  <si>
    <t>Ṣōrān</t>
  </si>
  <si>
    <t>soran</t>
  </si>
  <si>
    <t>163914</t>
  </si>
  <si>
    <t>Souss-Massa</t>
  </si>
  <si>
    <t>souss_massa</t>
  </si>
  <si>
    <t>2597554</t>
  </si>
  <si>
    <t>Sousse</t>
  </si>
  <si>
    <t>sousse</t>
  </si>
  <si>
    <t>2464915</t>
  </si>
  <si>
    <t>South Kordofan</t>
  </si>
  <si>
    <t>south_kordofan</t>
  </si>
  <si>
    <t>408661</t>
  </si>
  <si>
    <t>South Sudan</t>
  </si>
  <si>
    <t>south_sudan</t>
  </si>
  <si>
    <t>7909807</t>
  </si>
  <si>
    <t>Spain</t>
  </si>
  <si>
    <t>spain</t>
  </si>
  <si>
    <t>2510769</t>
  </si>
  <si>
    <t>Sudan</t>
  </si>
  <si>
    <t>sudan</t>
  </si>
  <si>
    <t>366755</t>
  </si>
  <si>
    <t>Sudr</t>
  </si>
  <si>
    <t>sudr</t>
  </si>
  <si>
    <t>449808</t>
  </si>
  <si>
    <t>Aṣ Ṣufayri</t>
  </si>
  <si>
    <t>sufayri</t>
  </si>
  <si>
    <t>108064</t>
  </si>
  <si>
    <t>Sulug</t>
  </si>
  <si>
    <t>sulug</t>
  </si>
  <si>
    <t>81603</t>
  </si>
  <si>
    <t>aṣ-Ṣummān</t>
  </si>
  <si>
    <t>summan</t>
  </si>
  <si>
    <t>Sur</t>
  </si>
  <si>
    <t>sur</t>
  </si>
  <si>
    <t>286245</t>
  </si>
  <si>
    <t>Sūlam</t>
  </si>
  <si>
    <t>suulam</t>
  </si>
  <si>
    <t>293449</t>
  </si>
  <si>
    <t>syria</t>
  </si>
  <si>
    <t>163843</t>
  </si>
  <si>
    <t>Taanayel</t>
  </si>
  <si>
    <t>taanayel</t>
  </si>
  <si>
    <t>266852</t>
  </si>
  <si>
    <t>Tadla</t>
  </si>
  <si>
    <t>tadla</t>
  </si>
  <si>
    <t>2532029</t>
  </si>
  <si>
    <t>Tafilalet</t>
  </si>
  <si>
    <t>tafilalet</t>
  </si>
  <si>
    <t>11281881</t>
  </si>
  <si>
    <t>Taiz</t>
  </si>
  <si>
    <t>taiz</t>
  </si>
  <si>
    <t>70225</t>
  </si>
  <si>
    <t>Takrouna</t>
  </si>
  <si>
    <t>takrouna</t>
  </si>
  <si>
    <t>2464802</t>
  </si>
  <si>
    <t>tall_abyad</t>
  </si>
  <si>
    <t>163750</t>
  </si>
  <si>
    <t>Tall Ḏunūb</t>
  </si>
  <si>
    <t>tall_dunub</t>
  </si>
  <si>
    <t>266885</t>
  </si>
  <si>
    <t>Tallet Qarmita</t>
  </si>
  <si>
    <t>tallet_qarmita</t>
  </si>
  <si>
    <t>269299</t>
  </si>
  <si>
    <t>Tan-Tan</t>
  </si>
  <si>
    <t>tan_tan</t>
  </si>
  <si>
    <t>2530241</t>
  </si>
  <si>
    <t>Tanger</t>
  </si>
  <si>
    <t>tanger</t>
  </si>
  <si>
    <t>2530335</t>
  </si>
  <si>
    <t>Tanūma</t>
  </si>
  <si>
    <t>tanuma</t>
  </si>
  <si>
    <t>101581</t>
  </si>
  <si>
    <t>Tarsus</t>
  </si>
  <si>
    <t>tarsus</t>
  </si>
  <si>
    <t>299817</t>
  </si>
  <si>
    <t>Ṭarṭūs</t>
  </si>
  <si>
    <t>tartus</t>
  </si>
  <si>
    <t>163345</t>
  </si>
  <si>
    <t>Tataouine</t>
  </si>
  <si>
    <t>tataouine</t>
  </si>
  <si>
    <t>2464701</t>
  </si>
  <si>
    <t>Taza</t>
  </si>
  <si>
    <t>taza</t>
  </si>
  <si>
    <t>2529317</t>
  </si>
  <si>
    <t>Tel Aviv</t>
  </si>
  <si>
    <t>tel_aviv</t>
  </si>
  <si>
    <t>293397</t>
  </si>
  <si>
    <t>Tell ʔAlu</t>
  </si>
  <si>
    <t>tell_alu</t>
  </si>
  <si>
    <t>162875</t>
  </si>
  <si>
    <t>Tell Būrek</t>
  </si>
  <si>
    <t>tell_burek</t>
  </si>
  <si>
    <t>171437</t>
  </si>
  <si>
    <t>Temara</t>
  </si>
  <si>
    <t>temara</t>
  </si>
  <si>
    <t>2529013</t>
  </si>
  <si>
    <t>Ténès</t>
  </si>
  <si>
    <t>tenes</t>
  </si>
  <si>
    <t>2477148</t>
  </si>
  <si>
    <t>Testour</t>
  </si>
  <si>
    <t>testour</t>
  </si>
  <si>
    <t>2464703</t>
  </si>
  <si>
    <t>Tétouan</t>
  </si>
  <si>
    <t>tetouan</t>
  </si>
  <si>
    <t>2528910</t>
  </si>
  <si>
    <t>Thessaloniki</t>
  </si>
  <si>
    <t>thessaloniki</t>
  </si>
  <si>
    <t>734077</t>
  </si>
  <si>
    <t>Tiberias</t>
  </si>
  <si>
    <t>tiberias</t>
  </si>
  <si>
    <t>293322</t>
  </si>
  <si>
    <t>Tihama</t>
  </si>
  <si>
    <t>tihama</t>
  </si>
  <si>
    <t>70009</t>
  </si>
  <si>
    <t>Tikrit</t>
  </si>
  <si>
    <t>tikrit</t>
  </si>
  <si>
    <t>90150</t>
  </si>
  <si>
    <t>Tillo</t>
  </si>
  <si>
    <t>tillo</t>
  </si>
  <si>
    <t>438519</t>
  </si>
  <si>
    <t>Tiznit</t>
  </si>
  <si>
    <t>tiznit</t>
  </si>
  <si>
    <t>2527089</t>
  </si>
  <si>
    <t>Tlemcen</t>
  </si>
  <si>
    <t>tlemcen</t>
  </si>
  <si>
    <t>2475687</t>
  </si>
  <si>
    <t>Toledo</t>
  </si>
  <si>
    <t>toledo</t>
  </si>
  <si>
    <t>2510409</t>
  </si>
  <si>
    <t>Tolga</t>
  </si>
  <si>
    <t>tolga</t>
  </si>
  <si>
    <t>2475612</t>
  </si>
  <si>
    <t>Tozeur</t>
  </si>
  <si>
    <t>tozeur</t>
  </si>
  <si>
    <t>2464648</t>
  </si>
  <si>
    <t>Tripoli (Lebanon)</t>
  </si>
  <si>
    <t>tripoli_lebanon</t>
  </si>
  <si>
    <t>266826</t>
  </si>
  <si>
    <t>Tripoli (Libya)</t>
  </si>
  <si>
    <t>tripoli_libya</t>
  </si>
  <si>
    <t>2210247</t>
  </si>
  <si>
    <t>Tripolitania</t>
  </si>
  <si>
    <t>tripolitania</t>
  </si>
  <si>
    <t>2210246</t>
  </si>
  <si>
    <t>Tūbā Zangarīya</t>
  </si>
  <si>
    <t>tuba_zangariya</t>
  </si>
  <si>
    <t>293298</t>
  </si>
  <si>
    <t>Ṭulkarm</t>
  </si>
  <si>
    <t>tulkarm</t>
  </si>
  <si>
    <t>281577</t>
  </si>
  <si>
    <t>Tunis</t>
  </si>
  <si>
    <t>tunis</t>
  </si>
  <si>
    <t>2464470</t>
  </si>
  <si>
    <t>Tunisia</t>
  </si>
  <si>
    <t>tunisia</t>
  </si>
  <si>
    <t>2464461</t>
  </si>
  <si>
    <t>Turaif</t>
  </si>
  <si>
    <t>turaif</t>
  </si>
  <si>
    <t>101312</t>
  </si>
  <si>
    <t>Turkey</t>
  </si>
  <si>
    <t>turkey</t>
  </si>
  <si>
    <t>298795</t>
  </si>
  <si>
    <t>Twēnān</t>
  </si>
  <si>
    <t>twenan</t>
  </si>
  <si>
    <t>171376</t>
  </si>
  <si>
    <t>Uganda</t>
  </si>
  <si>
    <t>uganda</t>
  </si>
  <si>
    <t>226074</t>
  </si>
  <si>
    <t>Umm al Walīd</t>
  </si>
  <si>
    <t>umm_al_walid</t>
  </si>
  <si>
    <t>246338</t>
  </si>
  <si>
    <t>Umm ar Raṣāṣ</t>
  </si>
  <si>
    <t>umm_ar_rasas</t>
  </si>
  <si>
    <t>246330</t>
  </si>
  <si>
    <t>Umm el Ghanam</t>
  </si>
  <si>
    <t>umm_el_ghanam</t>
  </si>
  <si>
    <t>293285</t>
  </si>
  <si>
    <t>United Arab Emirates</t>
  </si>
  <si>
    <t>united_arab_emirates</t>
  </si>
  <si>
    <t>290557</t>
  </si>
  <si>
    <t>Upper Egypt</t>
  </si>
  <si>
    <t>upper_egypt</t>
  </si>
  <si>
    <t>359888</t>
  </si>
  <si>
    <t>Uzbekistan</t>
  </si>
  <si>
    <t>uzbekistan</t>
  </si>
  <si>
    <t>1512440</t>
  </si>
  <si>
    <t>Valencia</t>
  </si>
  <si>
    <t>valencia</t>
  </si>
  <si>
    <t>2509954</t>
  </si>
  <si>
    <t>Wadi ʕAbl</t>
  </si>
  <si>
    <t>wadi_abl</t>
  </si>
  <si>
    <t>109659</t>
  </si>
  <si>
    <t>Wadi al-Arish</t>
  </si>
  <si>
    <t>wadi_al_arish</t>
  </si>
  <si>
    <t>360180</t>
  </si>
  <si>
    <t>Wadi al-Islah</t>
  </si>
  <si>
    <t>wadi_al_islah</t>
  </si>
  <si>
    <t>355468</t>
  </si>
  <si>
    <t>Wadi al-Miyāh</t>
  </si>
  <si>
    <t>wadi_al_miyah</t>
  </si>
  <si>
    <t>396569</t>
  </si>
  <si>
    <t>Wadi as-Sīr</t>
  </si>
  <si>
    <t>wadi_as_sir</t>
  </si>
  <si>
    <t>246013</t>
  </si>
  <si>
    <t>Wadi Jiddī</t>
  </si>
  <si>
    <t>wadi_jiddi</t>
  </si>
  <si>
    <t>355063</t>
  </si>
  <si>
    <t>Wadi Khalid</t>
  </si>
  <si>
    <t>wadi_khalid</t>
  </si>
  <si>
    <t>272631</t>
  </si>
  <si>
    <t>Wadi Ramm</t>
  </si>
  <si>
    <t>wadi_ramm</t>
  </si>
  <si>
    <t>247397</t>
  </si>
  <si>
    <t>Wadi Sous</t>
  </si>
  <si>
    <t>wadi_sous</t>
  </si>
  <si>
    <t>2532385</t>
  </si>
  <si>
    <t>Wadi Sulāf</t>
  </si>
  <si>
    <t>wadi_sulaf</t>
  </si>
  <si>
    <t>347777</t>
  </si>
  <si>
    <t>Wāhat Fayrān</t>
  </si>
  <si>
    <t>wahat_fayran</t>
  </si>
  <si>
    <t>356870</t>
  </si>
  <si>
    <t>White Nile</t>
  </si>
  <si>
    <t>white_nile</t>
  </si>
  <si>
    <t>408653</t>
  </si>
  <si>
    <t>Xewkija-Gozo</t>
  </si>
  <si>
    <t>xewkija</t>
  </si>
  <si>
    <t>8299760</t>
  </si>
  <si>
    <t>Ya'ara</t>
  </si>
  <si>
    <t>yaara</t>
  </si>
  <si>
    <t>293264</t>
  </si>
  <si>
    <t>Yafa</t>
  </si>
  <si>
    <t>yafa</t>
  </si>
  <si>
    <t>6940829</t>
  </si>
  <si>
    <t>Yangon</t>
  </si>
  <si>
    <t>yangon</t>
  </si>
  <si>
    <t>1298822</t>
  </si>
  <si>
    <t>Yarine</t>
  </si>
  <si>
    <t>yarine</t>
  </si>
  <si>
    <t>266113</t>
  </si>
  <si>
    <t>Yefren</t>
  </si>
  <si>
    <t>yefren</t>
  </si>
  <si>
    <t>2208791</t>
  </si>
  <si>
    <t>Yemen</t>
  </si>
  <si>
    <t>yemen</t>
  </si>
  <si>
    <t>69543</t>
  </si>
  <si>
    <t>Zaafrane</t>
  </si>
  <si>
    <t>zaafrane</t>
  </si>
  <si>
    <t>2464050</t>
  </si>
  <si>
    <t>Zabid</t>
  </si>
  <si>
    <t>zabid</t>
  </si>
  <si>
    <t>69500</t>
  </si>
  <si>
    <t>Zaer</t>
  </si>
  <si>
    <t>zaer</t>
  </si>
  <si>
    <t>2538470</t>
  </si>
  <si>
    <t>Zahlé</t>
  </si>
  <si>
    <t>zahle</t>
  </si>
  <si>
    <t>266045</t>
  </si>
  <si>
    <t>Zakarīya</t>
  </si>
  <si>
    <t>zakariiya</t>
  </si>
  <si>
    <t>293094</t>
  </si>
  <si>
    <t>Zaouia Akermoud</t>
  </si>
  <si>
    <t>zaouia_akermoud</t>
  </si>
  <si>
    <t>2526385</t>
  </si>
  <si>
    <t>Zeitoun, Keserwan</t>
  </si>
  <si>
    <t>zeitoun_keserwan</t>
  </si>
  <si>
    <t>265874</t>
  </si>
  <si>
    <t>Zgharta</t>
  </si>
  <si>
    <t>zgharta</t>
  </si>
  <si>
    <t>265845</t>
  </si>
  <si>
    <t>Zintan</t>
  </si>
  <si>
    <t>zintan</t>
  </si>
  <si>
    <t>2218963</t>
  </si>
  <si>
    <t>Zrarieh</t>
  </si>
  <si>
    <t>zrarieh</t>
  </si>
  <si>
    <t>277258</t>
  </si>
  <si>
    <t>Zyāra</t>
  </si>
  <si>
    <t>zyara</t>
  </si>
  <si>
    <t>172027</t>
  </si>
  <si>
    <t>Image</t>
  </si>
  <si>
    <t>Inhabitants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</si>
</sst>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3">
    <font>
      <sz val="11"/>
      <color theme="1"/>
      <name val="Calibri"/>
      <family val="2"/>
      <scheme val="minor"/>
    </font>
    <font>
      <sz val="10"/>
      <color theme="1"/>
      <name val="Calibri"/>
      <charset val="1"/>
    </font>
    <font>
      <sz val="10"/>
      <color theme="1"/>
      <name val="Calibri"/>
      <family val="2"/>
      <scheme val="minor"/>
    </font>
    <font>
      <sz val="10"/>
      <color rgb="FFAEAAAA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AEAAAA"/>
      <name val="Calibri"/>
      <family val="2"/>
      <scheme val="minor"/>
    </font>
    <font>
      <sz val="10"/>
      <color theme="1"/>
      <name val="Calibri"/>
    </font>
    <font>
      <sz val="10"/>
      <color rgb="FFAEAAAA"/>
      <name val="Calibri"/>
    </font>
    <font>
      <sz val="10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charset val="1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3" xfId="0" applyFont="1" applyBorder="1" applyAlignment="1">
      <alignment vertical="top" readingOrder="1"/>
    </xf>
    <xf numFmtId="0" fontId="1" fillId="0" borderId="4" xfId="0" applyFont="1" applyBorder="1" applyAlignment="1">
      <alignment vertical="top" readingOrder="1"/>
    </xf>
    <xf numFmtId="164" fontId="1" fillId="0" borderId="4" xfId="0" applyNumberFormat="1" applyFont="1" applyBorder="1" applyAlignment="1">
      <alignment vertical="top" readingOrder="1"/>
    </xf>
    <xf numFmtId="0" fontId="1" fillId="0" borderId="4" xfId="0" applyFont="1" applyBorder="1" applyAlignment="1">
      <alignment vertical="top" wrapText="1" readingOrder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readingOrder="1"/>
    </xf>
    <xf numFmtId="0" fontId="2" fillId="0" borderId="1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readingOrder="1"/>
    </xf>
    <xf numFmtId="0" fontId="1" fillId="0" borderId="6" xfId="0" applyFont="1" applyBorder="1" applyAlignment="1">
      <alignment vertical="top" readingOrder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readingOrder="1"/>
    </xf>
    <xf numFmtId="0" fontId="5" fillId="2" borderId="7" xfId="0" applyFont="1" applyFill="1" applyBorder="1"/>
    <xf numFmtId="0" fontId="0" fillId="3" borderId="7" xfId="0" applyFill="1" applyBorder="1"/>
    <xf numFmtId="0" fontId="0" fillId="0" borderId="7" xfId="0" applyBorder="1"/>
    <xf numFmtId="0" fontId="6" fillId="0" borderId="0" xfId="0" applyFont="1"/>
    <xf numFmtId="0" fontId="5" fillId="2" borderId="0" xfId="0" applyFont="1" applyFill="1"/>
    <xf numFmtId="0" fontId="0" fillId="0" borderId="8" xfId="0" applyBorder="1"/>
    <xf numFmtId="0" fontId="5" fillId="4" borderId="0" xfId="0" applyFont="1" applyFill="1"/>
    <xf numFmtId="0" fontId="4" fillId="0" borderId="0" xfId="0" applyFont="1"/>
    <xf numFmtId="164" fontId="1" fillId="0" borderId="1" xfId="0" applyNumberFormat="1" applyFont="1" applyBorder="1" applyAlignment="1">
      <alignment vertical="top" readingOrder="1"/>
    </xf>
    <xf numFmtId="49" fontId="1" fillId="0" borderId="1" xfId="0" applyNumberFormat="1" applyFont="1" applyBorder="1" applyAlignment="1">
      <alignment vertical="top" readingOrder="1"/>
    </xf>
    <xf numFmtId="0" fontId="8" fillId="0" borderId="1" xfId="0" applyFont="1" applyBorder="1" applyAlignment="1">
      <alignment vertical="top" readingOrder="1"/>
    </xf>
    <xf numFmtId="0" fontId="8" fillId="0" borderId="6" xfId="0" applyFont="1" applyBorder="1" applyAlignment="1">
      <alignment vertical="top" readingOrder="1"/>
    </xf>
    <xf numFmtId="164" fontId="7" fillId="0" borderId="1" xfId="0" applyNumberFormat="1" applyFont="1" applyBorder="1" applyAlignment="1">
      <alignment vertical="top" readingOrder="1"/>
    </xf>
    <xf numFmtId="49" fontId="7" fillId="0" borderId="1" xfId="0" applyNumberFormat="1" applyFont="1" applyBorder="1" applyAlignment="1">
      <alignment vertical="top" readingOrder="1"/>
    </xf>
    <xf numFmtId="0" fontId="7" fillId="0" borderId="1" xfId="0" applyFont="1" applyBorder="1" applyAlignment="1">
      <alignment vertical="top" readingOrder="1"/>
    </xf>
    <xf numFmtId="0" fontId="7" fillId="0" borderId="6" xfId="0" applyFont="1" applyBorder="1" applyAlignment="1">
      <alignment vertical="top" readingOrder="1"/>
    </xf>
    <xf numFmtId="0" fontId="9" fillId="0" borderId="1" xfId="0" applyFont="1" applyBorder="1" applyAlignment="1">
      <alignment vertical="top" wrapText="1" readingOrder="1"/>
    </xf>
    <xf numFmtId="0" fontId="7" fillId="0" borderId="5" xfId="0" applyFont="1" applyBorder="1" applyAlignment="1">
      <alignment vertical="top" readingOrder="1"/>
    </xf>
    <xf numFmtId="164" fontId="7" fillId="0" borderId="6" xfId="0" applyNumberFormat="1" applyFont="1" applyBorder="1" applyAlignment="1">
      <alignment vertical="top" readingOrder="1"/>
    </xf>
    <xf numFmtId="49" fontId="7" fillId="0" borderId="6" xfId="0" applyNumberFormat="1" applyFont="1" applyBorder="1" applyAlignment="1">
      <alignment vertical="top" readingOrder="1"/>
    </xf>
    <xf numFmtId="0" fontId="9" fillId="0" borderId="6" xfId="0" applyFont="1" applyBorder="1" applyAlignment="1">
      <alignment vertical="top" wrapText="1" readingOrder="1"/>
    </xf>
    <xf numFmtId="0" fontId="7" fillId="0" borderId="9" xfId="0" applyFont="1" applyBorder="1" applyAlignment="1">
      <alignment vertical="top" readingOrder="1"/>
    </xf>
    <xf numFmtId="0" fontId="7" fillId="0" borderId="2" xfId="0" applyFont="1" applyBorder="1" applyAlignment="1">
      <alignment vertical="top" readingOrder="1"/>
    </xf>
    <xf numFmtId="49" fontId="1" fillId="0" borderId="4" xfId="0" applyNumberFormat="1" applyFont="1" applyBorder="1" applyAlignment="1">
      <alignment vertical="top" readingOrder="1"/>
    </xf>
    <xf numFmtId="49" fontId="0" fillId="0" borderId="0" xfId="0" applyNumberFormat="1" applyAlignment="1">
      <alignment vertical="top"/>
    </xf>
    <xf numFmtId="0" fontId="10" fillId="0" borderId="0" xfId="1"/>
    <xf numFmtId="0" fontId="0" fillId="0" borderId="0" xfId="0" applyAlignment="1">
      <alignment wrapText="1"/>
    </xf>
    <xf numFmtId="0" fontId="7" fillId="0" borderId="4" xfId="0" applyFont="1" applyBorder="1" applyAlignment="1">
      <alignment vertical="top" readingOrder="1"/>
    </xf>
    <xf numFmtId="0" fontId="8" fillId="0" borderId="9" xfId="0" applyFont="1" applyBorder="1" applyAlignment="1">
      <alignment vertical="top" readingOrder="1"/>
    </xf>
    <xf numFmtId="0" fontId="11" fillId="0" borderId="0" xfId="0" applyFont="1" applyAlignment="1">
      <alignment vertical="top" readingOrder="1"/>
    </xf>
    <xf numFmtId="0" fontId="4" fillId="0" borderId="7" xfId="0" applyFont="1" applyBorder="1"/>
    <xf numFmtId="0" fontId="7" fillId="0" borderId="10" xfId="0" applyFont="1" applyBorder="1" applyAlignment="1">
      <alignment vertical="top" readingOrder="1"/>
    </xf>
    <xf numFmtId="0" fontId="8" fillId="0" borderId="11" xfId="0" applyFont="1" applyBorder="1" applyAlignment="1">
      <alignment vertical="top" readingOrder="1"/>
    </xf>
    <xf numFmtId="0" fontId="8" fillId="0" borderId="12" xfId="0" applyFont="1" applyBorder="1" applyAlignment="1">
      <alignment vertical="top" readingOrder="1"/>
    </xf>
    <xf numFmtId="164" fontId="7" fillId="0" borderId="11" xfId="0" applyNumberFormat="1" applyFont="1" applyBorder="1" applyAlignment="1">
      <alignment vertical="top" readingOrder="1"/>
    </xf>
    <xf numFmtId="49" fontId="7" fillId="0" borderId="11" xfId="0" applyNumberFormat="1" applyFont="1" applyBorder="1" applyAlignment="1">
      <alignment vertical="top" readingOrder="1"/>
    </xf>
    <xf numFmtId="0" fontId="7" fillId="0" borderId="11" xfId="0" applyFont="1" applyBorder="1" applyAlignment="1">
      <alignment vertical="top" readingOrder="1"/>
    </xf>
    <xf numFmtId="0" fontId="1" fillId="0" borderId="11" xfId="0" applyFont="1" applyBorder="1" applyAlignment="1">
      <alignment vertical="top" readingOrder="1"/>
    </xf>
    <xf numFmtId="0" fontId="7" fillId="0" borderId="12" xfId="0" applyFont="1" applyBorder="1" applyAlignment="1">
      <alignment vertical="top" readingOrder="1"/>
    </xf>
    <xf numFmtId="0" fontId="9" fillId="0" borderId="11" xfId="0" applyFont="1" applyBorder="1" applyAlignment="1">
      <alignment vertical="top" wrapText="1" readingOrder="1"/>
    </xf>
    <xf numFmtId="0" fontId="0" fillId="0" borderId="13" xfId="0" applyBorder="1" applyAlignment="1">
      <alignment vertical="top"/>
    </xf>
    <xf numFmtId="0" fontId="0" fillId="0" borderId="13" xfId="0" applyBorder="1" applyAlignment="1">
      <alignment vertical="top" wrapText="1"/>
    </xf>
    <xf numFmtId="0" fontId="3" fillId="0" borderId="6" xfId="0" applyFont="1" applyBorder="1" applyAlignment="1">
      <alignment vertical="top" readingOrder="1"/>
    </xf>
    <xf numFmtId="0" fontId="1" fillId="0" borderId="9" xfId="0" applyFont="1" applyBorder="1" applyAlignment="1">
      <alignment vertical="top" readingOrder="1"/>
    </xf>
    <xf numFmtId="0" fontId="7" fillId="0" borderId="9" xfId="0" applyFont="1" applyBorder="1" applyAlignment="1">
      <alignment vertical="top" wrapText="1" readingOrder="1"/>
    </xf>
    <xf numFmtId="0" fontId="0" fillId="0" borderId="8" xfId="0" applyBorder="1" applyAlignment="1">
      <alignment wrapText="1"/>
    </xf>
    <xf numFmtId="0" fontId="12" fillId="0" borderId="7" xfId="0" applyFont="1" applyBorder="1"/>
    <xf numFmtId="0" fontId="0" fillId="5" borderId="7" xfId="0" applyFill="1" applyBorder="1"/>
    <xf numFmtId="0" fontId="7" fillId="0" borderId="6" xfId="0" applyFont="1" applyBorder="1" applyAlignment="1">
      <alignment vertical="top" wrapText="1" readingOrder="1"/>
    </xf>
    <xf numFmtId="0" fontId="7" fillId="0" borderId="1" xfId="0" quotePrefix="1" applyFont="1" applyBorder="1" applyAlignment="1">
      <alignment vertical="top" readingOrder="1"/>
    </xf>
    <xf numFmtId="0" fontId="12" fillId="0" borderId="0" xfId="0" applyFont="1" applyAlignment="1">
      <alignment horizontal="left"/>
    </xf>
    <xf numFmtId="0" fontId="12" fillId="0" borderId="0" xfId="0" applyFont="1"/>
  </cellXfs>
  <cellStyles count="2">
    <cellStyle name="Hyperlink" xfId="1" xr:uid="{00000000-000B-0000-0000-000008000000}"/>
    <cellStyle name="Standard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</dxf>
    <dxf>
      <numFmt numFmtId="0" formatCode="General"/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AEAAAA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top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charset val="1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yyyy\-mm\-dd;@"/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EAAAA"/>
        <name val="Calibri"/>
        <scheme val="none"/>
      </font>
      <numFmt numFmtId="0" formatCode="General"/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EAAAA"/>
        <name val="Calibri"/>
        <scheme val="none"/>
      </font>
      <numFmt numFmtId="0" formatCode="General"/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600-000000000000}" autoFormatId="0" applyNumberFormats="0" applyBorderFormats="0" applyFontFormats="1" applyPatternFormats="1" applyAlignmentFormats="0" applyWidthHeightFormats="0">
  <queryTableRefresh preserveSortFilterLayout="0" nextId="6">
    <queryTableFields count="4">
      <queryTableField id="1" name="Placename" tableColumnId="1"/>
      <queryTableField id="2" name="ID" tableColumnId="2"/>
      <queryTableField id="3" name="Geonames ID" tableColumnId="3"/>
      <queryTableField id="4" name="Geo Type" tableColumnId="4"/>
    </queryTableFields>
  </queryTableRefresh>
</queryTable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3CC45D1-8078-44A2-ABAF-9F3CC4D873BB}" name="Team" displayName="Team" ref="A1:H13" totalsRowShown="0">
  <autoFilter ref="A1:H13" xr:uid="{00000000-0009-0000-0100-000004000000}"/>
  <tableColumns count="8">
    <tableColumn id="1" xr3:uid="{2B2844E2-CE98-4C68-9379-511F9A6FE43C}" name="ID"/>
    <tableColumn id="5" xr3:uid="{E9AC5269-AC35-444F-9AA5-F3072932AFDB}" name="Forename"/>
    <tableColumn id="6" xr3:uid="{878F94D0-AA4B-4C86-825E-5072D1AA1E8F}" name="Surname"/>
    <tableColumn id="7" xr3:uid="{DDC45BE1-FF63-4296-B448-7875D503950A}" name="Role"/>
    <tableColumn id="4" xr3:uid="{923FD5EE-B2E6-43A9-A68E-DE7F0A2C82CA}" name="ORCID"/>
    <tableColumn id="9" xr3:uid="{CF1E6907-D3FC-4C4B-A9B2-577C863CE6F1}" name="Affiliation" dataCellStyle="Hyperlink"/>
    <tableColumn id="2" xr3:uid="{82E1D3A0-40F5-4E29-AA6D-019C055C2F1D}" name="Note"/>
    <tableColumn id="8" xr3:uid="{3C9D79B3-A710-4A67-8BA5-99773EA374ED}" name="Full Name" dataDxfId="37">
      <calculatedColumnFormula>Team[[#This Row],[Forename]]&amp;" "&amp;Team[[#This Row],[Surname]]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Wrkflw" displayName="Wrkflw" ref="A1:J514" totalsRowShown="0">
  <autoFilter ref="A1:J514" xr:uid="{00000000-0009-0000-0100-000005000000}"/>
  <tableColumns count="10">
    <tableColumn id="6" xr3:uid="{9A43CC26-F545-4C8A-AC14-273968162672}" name="Text" dataDxfId="36"/>
    <tableColumn id="8" xr3:uid="{1C604857-7009-4771-BCA9-028DE1835754}" name="Handwritten Transcription" dataDxfId="35"/>
    <tableColumn id="2" xr3:uid="{00000000-0010-0000-0000-000002000000}" name="Transcribed"/>
    <tableColumn id="10" xr3:uid="{F7A36BAA-503E-4C54-A9DA-935AC595CF23}" name="ELAN is ready"/>
    <tableColumn id="1" xr3:uid="{00000000-0010-0000-0000-000001000000}" name="Text is translated"/>
    <tableColumn id="3" xr3:uid="{00000000-0010-0000-0000-000003000000}" name="Audio is prepared"/>
    <tableColumn id="4" xr3:uid="{00000000-0010-0000-0000-000004000000}" name="TEI is generated"/>
    <tableColumn id="5" xr3:uid="{00000000-0010-0000-0000-000005000000}" name="Text is glossed"/>
    <tableColumn id="7" xr3:uid="{00000000-0010-0000-0000-000007000000}" name=" "/>
    <tableColumn id="9" xr3:uid="{F7932FA3-CA9D-4883-83F4-5D4DE1855BD1}" name="Internal Note" dataDxfId="34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Rcrdngs" displayName="Rcrdngs" ref="A1:R609" totalsRowShown="0" headerRowDxfId="31" dataDxfId="30" headerRowBorderDxfId="28" tableBorderDxfId="29" totalsRowBorderDxfId="27">
  <autoFilter ref="A1:R609" xr:uid="{00000000-0009-0000-0100-000001000000}"/>
  <sortState xmlns:xlrd2="http://schemas.microsoft.com/office/spreadsheetml/2017/richdata2" ref="A2:R455">
    <sortCondition ref="A1:A455"/>
  </sortState>
  <tableColumns count="18">
    <tableColumn id="1" xr3:uid="{00000000-0010-0000-0100-000001000000}" name="Text" dataDxfId="26"/>
    <tableColumn id="2" xr3:uid="{00000000-0010-0000-0100-000002000000}" name="Speaker" dataDxfId="25">
      <calculatedColumnFormula array="1">_xlfn.TEXTJOIN(", ", TRUE(), _xlfn._xlws.FILTER(Spkrs_Rcrdngs[Speaker],Spkrs_Rcrdngs[Recording]=Rcrdngs[[#This Row],[Text]],"[no speaker selected in Speakers_in_Recordings]"))</calculatedColumnFormula>
    </tableColumn>
    <tableColumn id="3" xr3:uid="{00000000-0010-0000-0100-000003000000}" name="Subject" dataDxfId="24">
      <calculatedColumnFormula array="1">_xlfn.TEXTJOIN(", ", TRUE(), _xlfn._xlws.FILTER(Sbcts_Rcrdngs[Subject],Sbcts_Rcrdngs[Recording]=Rcrdngs[[#This Row],[Text]],"[no subject selected in Subjects_in_Recordings]"))</calculatedColumnFormula>
    </tableColumn>
    <tableColumn id="4" xr3:uid="{00000000-0010-0000-0100-000004000000}" name="Date" dataDxfId="23"/>
    <tableColumn id="5" xr3:uid="{00000000-0010-0000-0100-000005000000}" name="Length" dataDxfId="22"/>
    <tableColumn id="6" xr3:uid="{00000000-0010-0000-0100-000006000000}" name="Rec. person" dataDxfId="21"/>
    <tableColumn id="14" xr3:uid="{9500F6B3-46A5-47E1-8D5D-ACB5C5EEA7D1}" name="Processed" dataDxfId="20"/>
    <tableColumn id="10" xr3:uid="{FB4B4B10-F5B6-420A-80B7-6615AC13B748}" name="transcribed by" dataDxfId="19"/>
    <tableColumn id="16" xr3:uid="{789F30F5-18C4-432D-BB5C-168D74215B10}" name="transcription checked by" dataDxfId="18"/>
    <tableColumn id="8" xr3:uid="{047356F0-36BF-4028-85F3-F07698DCA884}" name="transcription checked by2" dataDxfId="17"/>
    <tableColumn id="17" xr3:uid="{D3861CDB-6216-4F0C-9153-D184C63298E1}" name="translated by" dataDxfId="16"/>
    <tableColumn id="18" xr3:uid="{7AF3BF17-1598-421F-8761-C5F0903F77D3}" name="translation checked by" dataDxfId="15"/>
    <tableColumn id="19" xr3:uid="{C3DB1509-791A-47F3-9916-5E70FB54BE7C}" name="glossed by" dataDxfId="14"/>
    <tableColumn id="11" xr3:uid="{4C84686F-9BA1-4496-BAB6-B6EE59272645}" name="glossing checked by" dataDxfId="13"/>
    <tableColumn id="7" xr3:uid="{00000000-0010-0000-0100-000007000000}" name="Place" dataDxfId="12"/>
    <tableColumn id="15" xr3:uid="{DAC0C709-9154-428E-ACD8-16637531C641}" name="Original Recording file" dataDxfId="11"/>
    <tableColumn id="9" xr3:uid="{00000000-0010-0000-0100-000009000000}" name="Transcribed Audio-file" dataDxfId="10"/>
    <tableColumn id="12" xr3:uid="{00000000-0010-0000-0100-00000C000000}" name="Internal Procedural Notes" dataDxfId="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pkrs" displayName="Spkrs" ref="A1:G89" totalsRowShown="0">
  <autoFilter ref="A1:G89" xr:uid="{00000000-0009-0000-0100-000004000000}"/>
  <sortState xmlns:xlrd2="http://schemas.microsoft.com/office/spreadsheetml/2017/richdata2" ref="A2:G89">
    <sortCondition ref="D1:D89"/>
  </sortState>
  <tableColumns count="7">
    <tableColumn id="1" xr3:uid="{00000000-0010-0000-0200-000001000000}" name="Speaker"/>
    <tableColumn id="5" xr3:uid="{00000000-0010-0000-0200-000005000000}" name="Gender"/>
    <tableColumn id="6" xr3:uid="{00000000-0010-0000-0200-000006000000}" name="Year of Birth"/>
    <tableColumn id="7" xr3:uid="{00000000-0010-0000-0200-000007000000}" name="Languages"/>
    <tableColumn id="4" xr3:uid="{C4E86A8F-FA04-4D4F-B797-F9A6F688FD80}" name="Place of Origin"/>
    <tableColumn id="2" xr3:uid="{00000000-0010-0000-0200-000002000000}" name="Note"/>
    <tableColumn id="3" xr3:uid="{00000000-0010-0000-0200-000003000000}" name="Recordings" dataDxfId="7">
      <calculatedColumnFormula array="1">_xlfn.TEXTJOIN(", ",TRUE(),_xlfn._xlws.FILTER(Spkrs_Rcrdngs[Recording],Spkrs_Rcrdngs[Speaker]=_xlfn.SINGLE(Spkrs[Speaker]),"N/A"))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Spkrs_Rcrdngs" displayName="Spkrs_Rcrdngs" ref="A1:B1126" totalsRowShown="0">
  <autoFilter ref="A1:B1126" xr:uid="{00000000-0009-0000-0100-000006000000}"/>
  <tableColumns count="2">
    <tableColumn id="4" xr3:uid="{00000000-0010-0000-0300-000004000000}" name="Recording"/>
    <tableColumn id="5" xr3:uid="{00000000-0010-0000-0300-000005000000}" name="Speaker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Sbjcts" displayName="Sbjcts" ref="A1:B617" totalsRowShown="0">
  <autoFilter ref="A1:B617" xr:uid="{00000000-0009-0000-0100-000003000000}"/>
  <sortState xmlns:xlrd2="http://schemas.microsoft.com/office/spreadsheetml/2017/richdata2" ref="A2:B617">
    <sortCondition ref="A1:A617"/>
  </sortState>
  <tableColumns count="2">
    <tableColumn id="1" xr3:uid="{00000000-0010-0000-0400-000001000000}" name="Label" dataDxfId="6"/>
    <tableColumn id="2" xr3:uid="{00000000-0010-0000-0400-000002000000}" name="Definition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Sbcts_Rcrdngs" displayName="Sbcts_Rcrdngs" ref="A1:B850" totalsRowShown="0" headerRowDxfId="5" tableBorderDxfId="4">
  <autoFilter ref="A1:B850" xr:uid="{00000000-0009-0000-0100-000007000000}"/>
  <sortState xmlns:xlrd2="http://schemas.microsoft.com/office/spreadsheetml/2017/richdata2" ref="A2:B336">
    <sortCondition ref="A1:A336"/>
  </sortState>
  <tableColumns count="2">
    <tableColumn id="1" xr3:uid="{00000000-0010-0000-0500-000001000000}" name="Recording" dataDxfId="3"/>
    <tableColumn id="2" xr3:uid="{00000000-0010-0000-0500-000002000000}" name="Subject" dataDxfId="2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Plcs" displayName="Plcs" ref="A1:D607" tableType="queryTable" totalsRowShown="0">
  <autoFilter ref="A1:D607" xr:uid="{00000000-000C-0000-FFFF-FFFF06000000}"/>
  <tableColumns count="4">
    <tableColumn id="1" xr3:uid="{B7FD8C9D-6C30-40FD-B817-96A1E52F406A}" uniqueName="1" name="Placename" queryTableFieldId="1"/>
    <tableColumn id="2" xr3:uid="{72373F06-A1D2-4B3C-BA3D-E0D79A443267}" uniqueName="2" name="ID" queryTableFieldId="2"/>
    <tableColumn id="3" xr3:uid="{82D98BA8-3772-4508-B368-69231B95B983}" uniqueName="3" name="Geonames ID" queryTableFieldId="3" dataDxfId="1"/>
    <tableColumn id="4" xr3:uid="{59046854-6CF1-4F45-9C82-59BB1391B8AC}" uniqueName="4" name="Geo Typ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rcid.org/0000-0001-9860-7668" TargetMode="External"/><Relationship Id="rId3" Type="http://schemas.openxmlformats.org/officeDocument/2006/relationships/hyperlink" Target="https://orcid.org/0000-0003-2436-0361" TargetMode="External"/><Relationship Id="rId7" Type="http://schemas.openxmlformats.org/officeDocument/2006/relationships/hyperlink" Target="https://orcid.org/0009-0004-3540-2365" TargetMode="External"/><Relationship Id="rId2" Type="http://schemas.openxmlformats.org/officeDocument/2006/relationships/hyperlink" Target="https://orcid.org/0000-0002-6466-7651" TargetMode="External"/><Relationship Id="rId1" Type="http://schemas.openxmlformats.org/officeDocument/2006/relationships/hyperlink" Target="https://orcid.org/0000-0001-9421-1404" TargetMode="External"/><Relationship Id="rId6" Type="http://schemas.openxmlformats.org/officeDocument/2006/relationships/hyperlink" Target="https://orcid.org/0000-0001-6104-7484" TargetMode="External"/><Relationship Id="rId5" Type="http://schemas.openxmlformats.org/officeDocument/2006/relationships/hyperlink" Target="https://orcid.org/0000-0002-7136-0455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orcid.org/0000-0002-0963-8639" TargetMode="External"/><Relationship Id="rId9" Type="http://schemas.openxmlformats.org/officeDocument/2006/relationships/hyperlink" Target="https://orcid.org/0000-0001-6580-518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D131-72CD-4A89-870D-EAEA16424C3C}">
  <dimension ref="A1:H13"/>
  <sheetViews>
    <sheetView workbookViewId="0">
      <selection activeCell="E17" sqref="E17"/>
    </sheetView>
  </sheetViews>
  <sheetFormatPr defaultColWidth="8.7109375" defaultRowHeight="14.45"/>
  <cols>
    <col min="1" max="3" width="18.7109375" customWidth="1"/>
    <col min="4" max="4" width="28.140625" customWidth="1"/>
    <col min="5" max="5" width="24.5703125" customWidth="1"/>
    <col min="6" max="6" width="54.85546875" bestFit="1" customWidth="1"/>
    <col min="7" max="7" width="36" customWidth="1"/>
    <col min="8" max="8" width="17.85546875" hidden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38" t="s">
        <v>12</v>
      </c>
      <c r="F2" s="38" t="s">
        <v>13</v>
      </c>
      <c r="H2" t="str">
        <f>Team[[#This Row],[Forename]]&amp;" "&amp;Team[[#This Row],[Surname]]</f>
        <v>Stephan Procházka</v>
      </c>
    </row>
    <row r="3" spans="1:8">
      <c r="A3" t="s">
        <v>14</v>
      </c>
      <c r="B3" t="s">
        <v>15</v>
      </c>
      <c r="C3" t="s">
        <v>16</v>
      </c>
      <c r="D3" t="s">
        <v>17</v>
      </c>
      <c r="E3" s="38" t="s">
        <v>18</v>
      </c>
      <c r="F3" s="38" t="s">
        <v>13</v>
      </c>
      <c r="H3" t="str">
        <f>Team[[#This Row],[Forename]]&amp;" "&amp;Team[[#This Row],[Surname]]</f>
        <v>Aozan Hussien</v>
      </c>
    </row>
    <row r="4" spans="1:8">
      <c r="A4" t="s">
        <v>19</v>
      </c>
      <c r="B4" t="s">
        <v>20</v>
      </c>
      <c r="C4" t="s">
        <v>21</v>
      </c>
      <c r="D4" t="s">
        <v>22</v>
      </c>
      <c r="E4" s="38" t="s">
        <v>23</v>
      </c>
      <c r="F4" s="38" t="s">
        <v>13</v>
      </c>
      <c r="H4" t="str">
        <f>Team[[#This Row],[Forename]]&amp;" "&amp;Team[[#This Row],[Surname]]</f>
        <v>Miriam Al Tawil</v>
      </c>
    </row>
    <row r="5" spans="1:8">
      <c r="A5" t="s">
        <v>24</v>
      </c>
      <c r="B5" t="s">
        <v>25</v>
      </c>
      <c r="C5" t="s">
        <v>26</v>
      </c>
      <c r="D5" t="s">
        <v>27</v>
      </c>
      <c r="E5" s="38" t="s">
        <v>28</v>
      </c>
      <c r="F5" s="38" t="s">
        <v>13</v>
      </c>
      <c r="H5" t="str">
        <f>Team[[#This Row],[Forename]]&amp;" "&amp;Team[[#This Row],[Surname]]</f>
        <v>Aleksandra Naddari</v>
      </c>
    </row>
    <row r="6" spans="1:8">
      <c r="A6" t="s">
        <v>29</v>
      </c>
      <c r="B6" t="s">
        <v>30</v>
      </c>
      <c r="C6" t="s">
        <v>31</v>
      </c>
      <c r="F6" t="s">
        <v>32</v>
      </c>
      <c r="H6" t="str">
        <f>Team[[#This Row],[Forename]]&amp;" "&amp;Team[[#This Row],[Surname]]</f>
        <v>Zsófia Maura Abraham</v>
      </c>
    </row>
    <row r="7" spans="1:8">
      <c r="A7" t="s">
        <v>33</v>
      </c>
      <c r="B7" t="s">
        <v>34</v>
      </c>
      <c r="C7" t="s">
        <v>35</v>
      </c>
      <c r="D7" t="s">
        <v>36</v>
      </c>
      <c r="E7" s="38" t="s">
        <v>37</v>
      </c>
      <c r="F7" t="s">
        <v>32</v>
      </c>
      <c r="H7" t="str">
        <f>Team[[#This Row],[Forename]]&amp;" "&amp;Team[[#This Row],[Surname]]</f>
        <v>Charly Mörth</v>
      </c>
    </row>
    <row r="8" spans="1:8">
      <c r="A8" t="s">
        <v>38</v>
      </c>
      <c r="B8" t="s">
        <v>39</v>
      </c>
      <c r="C8" t="s">
        <v>40</v>
      </c>
      <c r="E8" s="38" t="s">
        <v>41</v>
      </c>
      <c r="F8" t="s">
        <v>32</v>
      </c>
      <c r="H8" t="str">
        <f>Team[[#This Row],[Forename]]&amp;" "&amp;Team[[#This Row],[Surname]]</f>
        <v>Daniel Schopper</v>
      </c>
    </row>
    <row r="9" spans="1:8">
      <c r="A9" t="s">
        <v>42</v>
      </c>
      <c r="B9" t="s">
        <v>43</v>
      </c>
      <c r="C9" t="s">
        <v>44</v>
      </c>
      <c r="E9" s="38" t="s">
        <v>45</v>
      </c>
      <c r="F9" t="s">
        <v>32</v>
      </c>
      <c r="H9" t="str">
        <f>Team[[#This Row],[Forename]]&amp;" "&amp;Team[[#This Row],[Surname]]</f>
        <v>Angelika Hechtl</v>
      </c>
    </row>
    <row r="10" spans="1:8">
      <c r="A10" t="s">
        <v>46</v>
      </c>
      <c r="B10" t="s">
        <v>47</v>
      </c>
      <c r="C10" t="s">
        <v>48</v>
      </c>
      <c r="E10" s="38"/>
      <c r="F10" s="38"/>
      <c r="H10" t="str">
        <f>Team[[#This Row],[Forename]]&amp;" "&amp;Team[[#This Row],[Surname]]</f>
        <v>Ismail Batan</v>
      </c>
    </row>
    <row r="11" spans="1:8">
      <c r="A11" t="s">
        <v>49</v>
      </c>
      <c r="B11" t="s">
        <v>50</v>
      </c>
      <c r="F11" s="38"/>
      <c r="H11" t="str">
        <f>Team[[#This Row],[Forename]]&amp;" "&amp;Team[[#This Row],[Surname]]</f>
        <v xml:space="preserve">No Need/ unqualified </v>
      </c>
    </row>
    <row r="12" spans="1:8">
      <c r="A12" t="s">
        <v>51</v>
      </c>
      <c r="B12" t="s">
        <v>52</v>
      </c>
      <c r="C12" t="s">
        <v>53</v>
      </c>
      <c r="D12" t="s">
        <v>54</v>
      </c>
      <c r="E12" s="38" t="s">
        <v>55</v>
      </c>
      <c r="F12" t="s">
        <v>32</v>
      </c>
      <c r="H12" t="str">
        <f>Team[[#This Row],[Forename]]&amp;" "&amp;Team[[#This Row],[Surname]]</f>
        <v>Veronika Engler</v>
      </c>
    </row>
    <row r="13" spans="1:8">
      <c r="A13" t="s">
        <v>56</v>
      </c>
      <c r="B13" t="s">
        <v>57</v>
      </c>
      <c r="C13" t="s">
        <v>58</v>
      </c>
      <c r="D13" t="s">
        <v>54</v>
      </c>
      <c r="E13" s="38" t="s">
        <v>59</v>
      </c>
      <c r="F13" t="s">
        <v>32</v>
      </c>
      <c r="H13" t="str">
        <f>Team[[#This Row],[Forename]]&amp;" "&amp;Team[[#This Row],[Surname]]</f>
        <v>Michaela Rausch-Supola</v>
      </c>
    </row>
  </sheetData>
  <hyperlinks>
    <hyperlink ref="E2" r:id="rId1" xr:uid="{01A1A71F-25E5-448A-B972-636CF0F55BD9}"/>
    <hyperlink ref="E7" r:id="rId2" xr:uid="{A894470C-1874-488B-9640-5873EC18B35C}"/>
    <hyperlink ref="E8" r:id="rId3" xr:uid="{9C086F2A-B6B4-4077-BB51-C4BBE48D4CFE}"/>
    <hyperlink ref="E3" r:id="rId4" xr:uid="{93B58A0C-3666-442E-8DBE-15C0438CAD53}"/>
    <hyperlink ref="E4" r:id="rId5" xr:uid="{6473288F-3658-408D-9708-E864C62991F4}"/>
    <hyperlink ref="E9" r:id="rId6" xr:uid="{ACEF8A25-8958-4449-9D1F-FF03A24DDE39}"/>
    <hyperlink ref="E5" r:id="rId7" xr:uid="{675B5968-1122-43CF-9B2A-B7B869D2A7D9}"/>
    <hyperlink ref="E12" r:id="rId8" display="https://orcid.org/0000-0001-9860-7668" xr:uid="{56AB8B06-5241-419D-912B-8DDF2DAB890D}"/>
    <hyperlink ref="E13" r:id="rId9" display="https://orcid.org/0000-0001-6580-5182" xr:uid="{F6B97D00-FCFD-451E-B3F8-A560F23E8608}"/>
  </hyperlinks>
  <pageMargins left="0.7" right="0.7" top="0.75" bottom="0.75" header="0.3" footer="0.3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4"/>
  <sheetViews>
    <sheetView topLeftCell="A327" workbookViewId="0">
      <selection activeCell="B211" sqref="B211"/>
    </sheetView>
  </sheetViews>
  <sheetFormatPr defaultColWidth="8.7109375" defaultRowHeight="14.45"/>
  <cols>
    <col min="1" max="1" width="15.5703125" style="20" customWidth="1"/>
    <col min="2" max="2" width="25.140625" style="20" bestFit="1" customWidth="1"/>
    <col min="3" max="4" width="26.5703125" customWidth="1"/>
    <col min="5" max="5" width="22.28515625" customWidth="1"/>
    <col min="6" max="6" width="21.5703125" customWidth="1"/>
    <col min="7" max="7" width="16.42578125" bestFit="1" customWidth="1"/>
    <col min="8" max="8" width="18.85546875" bestFit="1" customWidth="1"/>
    <col min="9" max="9" width="29" bestFit="1" customWidth="1"/>
    <col min="10" max="10" width="54.42578125" style="39" customWidth="1"/>
  </cols>
  <sheetData>
    <row r="1" spans="1:10">
      <c r="A1" s="13" t="s">
        <v>60</v>
      </c>
      <c r="B1" s="17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s="39" t="s">
        <v>69</v>
      </c>
    </row>
    <row r="2" spans="1:10" ht="25.5" customHeight="1">
      <c r="A2" s="14" t="s">
        <v>70</v>
      </c>
      <c r="B2" s="15"/>
      <c r="H2" t="s">
        <v>71</v>
      </c>
    </row>
    <row r="3" spans="1:10" ht="25.5" customHeight="1">
      <c r="A3" s="15" t="s">
        <v>72</v>
      </c>
      <c r="B3" s="43"/>
      <c r="C3" t="s">
        <v>73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</row>
    <row r="4" spans="1:10" ht="25.5" customHeight="1">
      <c r="A4" s="15" t="s">
        <v>74</v>
      </c>
      <c r="B4" s="15"/>
      <c r="H4" t="s">
        <v>71</v>
      </c>
    </row>
    <row r="5" spans="1:10" ht="25.5" customHeight="1">
      <c r="A5" s="15" t="s">
        <v>75</v>
      </c>
      <c r="B5" s="15"/>
      <c r="H5" t="s">
        <v>71</v>
      </c>
    </row>
    <row r="6" spans="1:10" ht="25.5" customHeight="1">
      <c r="A6" s="15" t="s">
        <v>76</v>
      </c>
      <c r="B6" s="43"/>
      <c r="C6" t="s">
        <v>73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</row>
    <row r="7" spans="1:10" ht="25.5" customHeight="1">
      <c r="A7" s="59" t="s">
        <v>77</v>
      </c>
      <c r="B7" s="43"/>
      <c r="C7" t="s">
        <v>73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</row>
    <row r="8" spans="1:10" ht="25.5" customHeight="1">
      <c r="A8" s="15" t="s">
        <v>78</v>
      </c>
      <c r="B8" s="43"/>
      <c r="C8" t="s">
        <v>73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</row>
    <row r="9" spans="1:10" ht="25.5" customHeight="1">
      <c r="A9" s="15" t="s">
        <v>79</v>
      </c>
      <c r="B9" s="43"/>
      <c r="C9" t="s">
        <v>73</v>
      </c>
      <c r="D9" t="s">
        <v>73</v>
      </c>
      <c r="E9" t="s">
        <v>73</v>
      </c>
      <c r="F9" t="s">
        <v>73</v>
      </c>
      <c r="G9" t="s">
        <v>71</v>
      </c>
      <c r="H9" t="s">
        <v>73</v>
      </c>
    </row>
    <row r="10" spans="1:10" ht="25.5" customHeight="1">
      <c r="A10" s="15" t="s">
        <v>80</v>
      </c>
      <c r="B10" s="15"/>
    </row>
    <row r="11" spans="1:10" ht="25.5" customHeight="1">
      <c r="A11" s="15" t="s">
        <v>81</v>
      </c>
      <c r="B11" s="15"/>
    </row>
    <row r="12" spans="1:10" ht="25.5" customHeight="1">
      <c r="A12" s="15" t="s">
        <v>82</v>
      </c>
      <c r="B12" s="15"/>
    </row>
    <row r="13" spans="1:10" ht="25.5" customHeight="1">
      <c r="A13" s="15" t="s">
        <v>83</v>
      </c>
      <c r="B13" s="15"/>
    </row>
    <row r="14" spans="1:10" ht="25.5" customHeight="1">
      <c r="A14" s="15" t="s">
        <v>84</v>
      </c>
      <c r="B14" s="15"/>
      <c r="C14" t="s">
        <v>73</v>
      </c>
      <c r="D14" t="s">
        <v>73</v>
      </c>
      <c r="E14" t="s">
        <v>73</v>
      </c>
      <c r="F14" t="s">
        <v>73</v>
      </c>
      <c r="G14" t="s">
        <v>73</v>
      </c>
      <c r="H14" t="s">
        <v>73</v>
      </c>
    </row>
    <row r="15" spans="1:10" ht="25.5" customHeight="1">
      <c r="A15" s="15" t="s">
        <v>85</v>
      </c>
      <c r="B15" s="15"/>
      <c r="C15" t="s">
        <v>73</v>
      </c>
      <c r="D15" t="s">
        <v>73</v>
      </c>
      <c r="E15" t="s">
        <v>73</v>
      </c>
      <c r="F15" t="s">
        <v>73</v>
      </c>
      <c r="G15" t="s">
        <v>73</v>
      </c>
      <c r="H15" t="s">
        <v>73</v>
      </c>
    </row>
    <row r="16" spans="1:10" ht="25.5" customHeight="1">
      <c r="A16" s="15" t="s">
        <v>86</v>
      </c>
      <c r="B16" s="15" t="s">
        <v>73</v>
      </c>
      <c r="C16" t="s">
        <v>73</v>
      </c>
      <c r="D16" t="s">
        <v>73</v>
      </c>
      <c r="E16" t="s">
        <v>73</v>
      </c>
      <c r="F16" t="s">
        <v>73</v>
      </c>
      <c r="G16" t="s">
        <v>71</v>
      </c>
      <c r="H16" t="s">
        <v>71</v>
      </c>
    </row>
    <row r="17" spans="1:8" ht="25.5" customHeight="1">
      <c r="A17" s="15" t="s">
        <v>87</v>
      </c>
      <c r="B17" s="15" t="s">
        <v>73</v>
      </c>
      <c r="C17" t="s">
        <v>73</v>
      </c>
      <c r="D17" t="s">
        <v>73</v>
      </c>
      <c r="E17" t="s">
        <v>73</v>
      </c>
      <c r="F17" t="s">
        <v>73</v>
      </c>
      <c r="G17" t="s">
        <v>73</v>
      </c>
      <c r="H17" t="s">
        <v>73</v>
      </c>
    </row>
    <row r="18" spans="1:8" ht="25.5" customHeight="1">
      <c r="A18" s="15" t="s">
        <v>88</v>
      </c>
      <c r="B18" s="15"/>
    </row>
    <row r="19" spans="1:8" ht="25.5" customHeight="1">
      <c r="A19" s="15" t="s">
        <v>89</v>
      </c>
      <c r="B19" s="15"/>
    </row>
    <row r="20" spans="1:8" ht="25.5" customHeight="1">
      <c r="A20" s="15" t="s">
        <v>90</v>
      </c>
      <c r="B20" s="15"/>
    </row>
    <row r="21" spans="1:8" ht="25.5" customHeight="1">
      <c r="A21" s="15" t="s">
        <v>91</v>
      </c>
      <c r="B21" s="15"/>
    </row>
    <row r="22" spans="1:8" ht="25.5" customHeight="1">
      <c r="A22" s="15" t="s">
        <v>92</v>
      </c>
      <c r="B22" s="15"/>
    </row>
    <row r="23" spans="1:8" ht="25.5" customHeight="1">
      <c r="A23" s="15" t="s">
        <v>93</v>
      </c>
      <c r="B23" s="15"/>
      <c r="C23" t="s">
        <v>73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</row>
    <row r="24" spans="1:8" ht="25.5" customHeight="1">
      <c r="A24" s="15" t="s">
        <v>94</v>
      </c>
      <c r="B24" s="43"/>
      <c r="C24" t="s">
        <v>73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</row>
    <row r="25" spans="1:8" ht="25.5" customHeight="1">
      <c r="A25" s="15" t="s">
        <v>95</v>
      </c>
      <c r="B25" s="15"/>
    </row>
    <row r="26" spans="1:8" ht="25.5" customHeight="1">
      <c r="A26" s="15" t="s">
        <v>96</v>
      </c>
      <c r="B26" s="15"/>
      <c r="C26" t="s">
        <v>73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</row>
    <row r="27" spans="1:8" ht="25.5" customHeight="1">
      <c r="A27" s="15" t="s">
        <v>97</v>
      </c>
      <c r="B27" s="15" t="s">
        <v>73</v>
      </c>
      <c r="C27" t="s">
        <v>73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</row>
    <row r="28" spans="1:8" ht="25.5" customHeight="1">
      <c r="A28" s="15" t="s">
        <v>98</v>
      </c>
      <c r="B28" s="15"/>
    </row>
    <row r="29" spans="1:8" ht="25.5" customHeight="1">
      <c r="A29" s="15" t="s">
        <v>99</v>
      </c>
      <c r="B29" s="15" t="s">
        <v>73</v>
      </c>
      <c r="C29" t="s">
        <v>73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</row>
    <row r="30" spans="1:8" ht="25.5" customHeight="1">
      <c r="A30" s="15" t="s">
        <v>100</v>
      </c>
      <c r="B30" s="15"/>
      <c r="C30" t="s">
        <v>73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</row>
    <row r="31" spans="1:8" ht="25.5" customHeight="1">
      <c r="A31" s="15" t="s">
        <v>101</v>
      </c>
      <c r="B31" s="15"/>
      <c r="C31" t="s">
        <v>73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</row>
    <row r="32" spans="1:8" ht="25.5" customHeight="1">
      <c r="A32" s="15" t="s">
        <v>102</v>
      </c>
      <c r="B32" s="15"/>
    </row>
    <row r="33" spans="1:8" ht="25.5" customHeight="1">
      <c r="A33" s="15" t="s">
        <v>103</v>
      </c>
      <c r="B33" s="15"/>
    </row>
    <row r="34" spans="1:8" ht="25.5" customHeight="1">
      <c r="A34" s="15" t="s">
        <v>104</v>
      </c>
      <c r="B34" s="15"/>
    </row>
    <row r="35" spans="1:8" ht="25.5" customHeight="1">
      <c r="A35" s="15" t="s">
        <v>105</v>
      </c>
      <c r="B35" s="15"/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</row>
    <row r="36" spans="1:8" ht="25.5" customHeight="1">
      <c r="A36" s="15" t="s">
        <v>106</v>
      </c>
      <c r="B36" s="14"/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</row>
    <row r="37" spans="1:8" ht="25.5" customHeight="1">
      <c r="A37" s="15" t="s">
        <v>107</v>
      </c>
      <c r="B37" s="15"/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</row>
    <row r="38" spans="1:8" ht="25.5" customHeight="1">
      <c r="A38" s="15" t="s">
        <v>108</v>
      </c>
      <c r="B38" s="14"/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</row>
    <row r="39" spans="1:8" ht="25.5" customHeight="1">
      <c r="A39" s="15" t="s">
        <v>109</v>
      </c>
      <c r="B39" s="15"/>
      <c r="C39" t="s">
        <v>73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</row>
    <row r="40" spans="1:8" ht="25.5" customHeight="1">
      <c r="A40" s="15" t="s">
        <v>110</v>
      </c>
      <c r="B40" s="14"/>
      <c r="C40" t="s">
        <v>73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</row>
    <row r="41" spans="1:8" ht="25.5" customHeight="1">
      <c r="A41" s="15" t="s">
        <v>111</v>
      </c>
      <c r="B41" s="15"/>
      <c r="C41" t="s">
        <v>73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</row>
    <row r="42" spans="1:8" ht="25.5" customHeight="1">
      <c r="A42" s="15" t="s">
        <v>112</v>
      </c>
      <c r="B42" s="14" t="s">
        <v>73</v>
      </c>
      <c r="C42" t="s">
        <v>73</v>
      </c>
      <c r="D42" t="s">
        <v>73</v>
      </c>
      <c r="E42" t="s">
        <v>73</v>
      </c>
      <c r="F42" t="s">
        <v>73</v>
      </c>
      <c r="G42" t="s">
        <v>71</v>
      </c>
      <c r="H42" t="s">
        <v>71</v>
      </c>
    </row>
    <row r="43" spans="1:8" ht="25.5" customHeight="1">
      <c r="A43" s="15" t="s">
        <v>113</v>
      </c>
      <c r="B43" s="15"/>
    </row>
    <row r="44" spans="1:8" ht="25.5" customHeight="1">
      <c r="A44" s="15" t="s">
        <v>114</v>
      </c>
      <c r="B44" s="14"/>
    </row>
    <row r="45" spans="1:8" ht="25.5" customHeight="1">
      <c r="A45" s="15" t="s">
        <v>115</v>
      </c>
      <c r="B45" s="1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</row>
    <row r="46" spans="1:8" ht="25.5" customHeight="1">
      <c r="A46" s="15" t="s">
        <v>116</v>
      </c>
      <c r="B46" s="14"/>
    </row>
    <row r="47" spans="1:8" ht="25.5" customHeight="1">
      <c r="A47" s="15" t="s">
        <v>117</v>
      </c>
      <c r="B47" s="15"/>
    </row>
    <row r="48" spans="1:8" ht="25.5" customHeight="1">
      <c r="A48" s="15" t="s">
        <v>118</v>
      </c>
      <c r="B48" s="14"/>
      <c r="C48" t="s">
        <v>73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</row>
    <row r="49" spans="1:8" ht="25.5" customHeight="1">
      <c r="A49" s="15" t="s">
        <v>119</v>
      </c>
      <c r="B49" s="15"/>
    </row>
    <row r="50" spans="1:8" ht="25.5" customHeight="1">
      <c r="A50" s="15" t="s">
        <v>120</v>
      </c>
      <c r="B50" s="14"/>
    </row>
    <row r="51" spans="1:8" ht="25.5" customHeight="1">
      <c r="A51" s="15" t="s">
        <v>121</v>
      </c>
      <c r="B51" s="15"/>
    </row>
    <row r="52" spans="1:8" ht="25.5" customHeight="1">
      <c r="A52" s="15" t="s">
        <v>122</v>
      </c>
      <c r="B52" s="14"/>
      <c r="C52" t="s">
        <v>73</v>
      </c>
      <c r="D52" t="s">
        <v>73</v>
      </c>
      <c r="E52" t="s">
        <v>73</v>
      </c>
      <c r="F52" t="s">
        <v>73</v>
      </c>
      <c r="G52" t="s">
        <v>73</v>
      </c>
      <c r="H52" t="s">
        <v>73</v>
      </c>
    </row>
    <row r="53" spans="1:8" ht="25.5" customHeight="1">
      <c r="A53" s="15" t="s">
        <v>123</v>
      </c>
      <c r="B53" s="15"/>
    </row>
    <row r="54" spans="1:8" ht="25.5" customHeight="1">
      <c r="A54" s="15" t="s">
        <v>124</v>
      </c>
      <c r="B54" s="14"/>
    </row>
    <row r="55" spans="1:8" ht="25.5" customHeight="1">
      <c r="A55" s="15" t="s">
        <v>125</v>
      </c>
      <c r="B55" s="15"/>
    </row>
    <row r="56" spans="1:8" ht="25.5" customHeight="1">
      <c r="A56" s="15" t="s">
        <v>126</v>
      </c>
      <c r="B56" s="14"/>
    </row>
    <row r="57" spans="1:8" ht="25.5" customHeight="1">
      <c r="A57" s="15" t="s">
        <v>127</v>
      </c>
      <c r="B57" s="15"/>
    </row>
    <row r="58" spans="1:8" ht="25.5" customHeight="1">
      <c r="A58" s="15" t="s">
        <v>128</v>
      </c>
      <c r="B58" s="14" t="s">
        <v>73</v>
      </c>
      <c r="C58" t="s">
        <v>73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</row>
    <row r="59" spans="1:8" ht="25.5" customHeight="1">
      <c r="A59" s="15" t="s">
        <v>129</v>
      </c>
      <c r="B59" s="15" t="s">
        <v>73</v>
      </c>
      <c r="C59" t="s">
        <v>73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</row>
    <row r="60" spans="1:8" ht="25.5" customHeight="1">
      <c r="A60" s="15" t="s">
        <v>130</v>
      </c>
      <c r="B60" s="15" t="s">
        <v>73</v>
      </c>
      <c r="C60" t="s">
        <v>73</v>
      </c>
      <c r="D60" t="s">
        <v>73</v>
      </c>
      <c r="E60" t="s">
        <v>73</v>
      </c>
      <c r="F60" t="s">
        <v>73</v>
      </c>
      <c r="G60" t="s">
        <v>73</v>
      </c>
      <c r="H60" t="s">
        <v>73</v>
      </c>
    </row>
    <row r="61" spans="1:8" ht="25.5" customHeight="1">
      <c r="A61" s="15" t="s">
        <v>131</v>
      </c>
      <c r="B61" s="60"/>
      <c r="C61" t="s">
        <v>73</v>
      </c>
      <c r="D61" t="s">
        <v>73</v>
      </c>
      <c r="E61" t="s">
        <v>73</v>
      </c>
      <c r="F61" t="s">
        <v>73</v>
      </c>
      <c r="G61" t="s">
        <v>73</v>
      </c>
      <c r="H61" t="s">
        <v>73</v>
      </c>
    </row>
    <row r="62" spans="1:8" ht="25.5" customHeight="1">
      <c r="A62" s="15" t="s">
        <v>132</v>
      </c>
      <c r="B62" s="15"/>
    </row>
    <row r="63" spans="1:8" ht="25.5" customHeight="1">
      <c r="A63" s="15" t="s">
        <v>133</v>
      </c>
      <c r="B63" s="60"/>
      <c r="C63" t="s">
        <v>73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</row>
    <row r="64" spans="1:8" ht="25.5" customHeight="1">
      <c r="A64" s="15" t="s">
        <v>134</v>
      </c>
      <c r="B64" s="15"/>
      <c r="C64" t="s">
        <v>73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</row>
    <row r="65" spans="1:8" ht="25.5" customHeight="1">
      <c r="A65" s="15" t="s">
        <v>135</v>
      </c>
      <c r="B65" s="60"/>
      <c r="C65" t="s">
        <v>73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</row>
    <row r="66" spans="1:8" ht="25.5" customHeight="1">
      <c r="A66" s="15" t="s">
        <v>136</v>
      </c>
      <c r="B66" s="15" t="s">
        <v>73</v>
      </c>
      <c r="C66" t="s">
        <v>73</v>
      </c>
      <c r="D66" t="s">
        <v>73</v>
      </c>
      <c r="E66" t="s">
        <v>73</v>
      </c>
      <c r="F66" t="s">
        <v>73</v>
      </c>
      <c r="G66" t="s">
        <v>73</v>
      </c>
      <c r="H66" t="s">
        <v>73</v>
      </c>
    </row>
    <row r="67" spans="1:8" ht="25.5" customHeight="1">
      <c r="A67" s="15" t="s">
        <v>137</v>
      </c>
      <c r="B67" s="60" t="s">
        <v>73</v>
      </c>
      <c r="C67" t="s">
        <v>73</v>
      </c>
      <c r="D67" t="s">
        <v>73</v>
      </c>
      <c r="E67" t="s">
        <v>73</v>
      </c>
      <c r="F67" t="s">
        <v>73</v>
      </c>
      <c r="G67" t="s">
        <v>73</v>
      </c>
      <c r="H67" t="s">
        <v>73</v>
      </c>
    </row>
    <row r="68" spans="1:8" ht="25.5" customHeight="1">
      <c r="A68" s="15" t="s">
        <v>138</v>
      </c>
      <c r="B68" s="15"/>
      <c r="C68" t="s">
        <v>73</v>
      </c>
      <c r="D68" t="s">
        <v>73</v>
      </c>
      <c r="E68" t="s">
        <v>73</v>
      </c>
      <c r="F68" t="s">
        <v>73</v>
      </c>
      <c r="G68" t="s">
        <v>73</v>
      </c>
      <c r="H68" t="s">
        <v>73</v>
      </c>
    </row>
    <row r="69" spans="1:8" ht="25.5" customHeight="1">
      <c r="A69" s="15" t="s">
        <v>139</v>
      </c>
      <c r="B69" s="43"/>
      <c r="C69" t="s">
        <v>73</v>
      </c>
      <c r="D69" t="s">
        <v>73</v>
      </c>
      <c r="E69" t="s">
        <v>73</v>
      </c>
      <c r="F69" t="s">
        <v>73</v>
      </c>
      <c r="G69" t="s">
        <v>73</v>
      </c>
      <c r="H69" t="s">
        <v>73</v>
      </c>
    </row>
    <row r="70" spans="1:8" ht="25.5" customHeight="1">
      <c r="A70" s="15" t="s">
        <v>140</v>
      </c>
      <c r="B70" s="43"/>
      <c r="C70" t="s">
        <v>73</v>
      </c>
      <c r="D70" t="s">
        <v>73</v>
      </c>
      <c r="E70" t="s">
        <v>73</v>
      </c>
      <c r="F70" t="s">
        <v>73</v>
      </c>
      <c r="G70" t="s">
        <v>73</v>
      </c>
      <c r="H70" t="s">
        <v>73</v>
      </c>
    </row>
    <row r="71" spans="1:8" ht="25.5" customHeight="1">
      <c r="A71" s="15" t="s">
        <v>141</v>
      </c>
      <c r="B71" s="43"/>
      <c r="C71" t="s">
        <v>73</v>
      </c>
      <c r="D71" t="s">
        <v>73</v>
      </c>
      <c r="E71" t="s">
        <v>73</v>
      </c>
      <c r="F71" t="s">
        <v>73</v>
      </c>
      <c r="G71" t="s">
        <v>73</v>
      </c>
      <c r="H71" t="s">
        <v>73</v>
      </c>
    </row>
    <row r="72" spans="1:8" ht="25.5" customHeight="1">
      <c r="A72" s="15" t="s">
        <v>142</v>
      </c>
      <c r="B72" s="43"/>
      <c r="C72" t="s">
        <v>73</v>
      </c>
      <c r="D72" t="s">
        <v>73</v>
      </c>
      <c r="E72" t="s">
        <v>73</v>
      </c>
      <c r="F72" t="s">
        <v>73</v>
      </c>
      <c r="G72" t="s">
        <v>73</v>
      </c>
      <c r="H72" t="s">
        <v>73</v>
      </c>
    </row>
    <row r="73" spans="1:8" ht="25.5" customHeight="1">
      <c r="A73" s="15" t="s">
        <v>143</v>
      </c>
      <c r="B73" s="60"/>
    </row>
    <row r="74" spans="1:8" ht="25.5" customHeight="1">
      <c r="A74" s="15" t="s">
        <v>144</v>
      </c>
      <c r="B74" s="15"/>
    </row>
    <row r="75" spans="1:8" ht="25.5" customHeight="1">
      <c r="A75" s="15" t="s">
        <v>145</v>
      </c>
      <c r="B75" s="60" t="s">
        <v>73</v>
      </c>
      <c r="C75" t="s">
        <v>73</v>
      </c>
      <c r="D75" t="s">
        <v>73</v>
      </c>
      <c r="E75" t="s">
        <v>73</v>
      </c>
      <c r="F75" t="s">
        <v>73</v>
      </c>
      <c r="G75" t="s">
        <v>73</v>
      </c>
      <c r="H75" t="s">
        <v>73</v>
      </c>
    </row>
    <row r="76" spans="1:8" ht="25.5" customHeight="1">
      <c r="A76" s="15" t="s">
        <v>146</v>
      </c>
      <c r="B76" s="15" t="s">
        <v>73</v>
      </c>
      <c r="C76" t="s">
        <v>73</v>
      </c>
      <c r="D76" t="s">
        <v>73</v>
      </c>
      <c r="E76" t="s">
        <v>73</v>
      </c>
      <c r="F76" t="s">
        <v>73</v>
      </c>
      <c r="G76" t="s">
        <v>73</v>
      </c>
      <c r="H76" t="s">
        <v>73</v>
      </c>
    </row>
    <row r="77" spans="1:8" ht="25.5" customHeight="1">
      <c r="A77" s="15" t="s">
        <v>147</v>
      </c>
      <c r="B77" s="60"/>
    </row>
    <row r="78" spans="1:8" ht="25.5" customHeight="1">
      <c r="A78" s="15" t="s">
        <v>148</v>
      </c>
      <c r="B78" s="15"/>
    </row>
    <row r="79" spans="1:8" ht="25.5" customHeight="1">
      <c r="A79" s="15" t="s">
        <v>149</v>
      </c>
      <c r="B79" s="60"/>
    </row>
    <row r="80" spans="1:8" ht="25.5" customHeight="1">
      <c r="A80" s="15" t="s">
        <v>150</v>
      </c>
      <c r="B80" s="15" t="s">
        <v>73</v>
      </c>
      <c r="C80" t="s">
        <v>73</v>
      </c>
      <c r="D80" t="s">
        <v>73</v>
      </c>
      <c r="E80" t="s">
        <v>73</v>
      </c>
      <c r="F80" t="s">
        <v>73</v>
      </c>
      <c r="G80" t="s">
        <v>73</v>
      </c>
      <c r="H80" t="s">
        <v>73</v>
      </c>
    </row>
    <row r="81" spans="1:8" ht="25.5" customHeight="1">
      <c r="A81" s="15" t="s">
        <v>151</v>
      </c>
      <c r="B81" s="60"/>
    </row>
    <row r="82" spans="1:8" ht="25.5" customHeight="1">
      <c r="A82" s="15" t="s">
        <v>152</v>
      </c>
      <c r="B82" s="15" t="s">
        <v>73</v>
      </c>
      <c r="C82" s="15" t="s">
        <v>73</v>
      </c>
      <c r="D82" s="15" t="s">
        <v>73</v>
      </c>
      <c r="E82" s="15" t="s">
        <v>73</v>
      </c>
      <c r="F82" s="15" t="s">
        <v>73</v>
      </c>
      <c r="G82" s="15" t="s">
        <v>73</v>
      </c>
      <c r="H82" t="s">
        <v>73</v>
      </c>
    </row>
    <row r="83" spans="1:8" ht="25.5" customHeight="1">
      <c r="A83" s="15" t="s">
        <v>153</v>
      </c>
      <c r="B83" s="60" t="s">
        <v>73</v>
      </c>
      <c r="C83" t="s">
        <v>73</v>
      </c>
      <c r="D83" t="s">
        <v>73</v>
      </c>
      <c r="E83" t="s">
        <v>71</v>
      </c>
      <c r="F83" s="15" t="s">
        <v>73</v>
      </c>
      <c r="G83" s="15" t="s">
        <v>71</v>
      </c>
      <c r="H83" t="s">
        <v>71</v>
      </c>
    </row>
    <row r="84" spans="1:8" ht="25.5" customHeight="1">
      <c r="A84" s="15" t="s">
        <v>154</v>
      </c>
      <c r="B84" s="15"/>
    </row>
    <row r="85" spans="1:8" ht="25.5" customHeight="1">
      <c r="A85" s="15" t="s">
        <v>155</v>
      </c>
      <c r="B85" s="60"/>
      <c r="C85" t="s">
        <v>73</v>
      </c>
      <c r="D85" t="s">
        <v>73</v>
      </c>
      <c r="E85" t="s">
        <v>73</v>
      </c>
      <c r="F85" t="s">
        <v>73</v>
      </c>
      <c r="G85" t="s">
        <v>73</v>
      </c>
      <c r="H85" t="s">
        <v>73</v>
      </c>
    </row>
    <row r="86" spans="1:8" ht="25.5" customHeight="1">
      <c r="A86" s="15" t="s">
        <v>156</v>
      </c>
      <c r="B86" s="15"/>
    </row>
    <row r="87" spans="1:8" ht="25.5" customHeight="1">
      <c r="A87" s="15" t="s">
        <v>157</v>
      </c>
      <c r="B87" s="60"/>
      <c r="C87" t="s">
        <v>73</v>
      </c>
      <c r="D87" t="s">
        <v>73</v>
      </c>
      <c r="E87" t="s">
        <v>73</v>
      </c>
      <c r="F87" t="s">
        <v>73</v>
      </c>
      <c r="G87" t="s">
        <v>73</v>
      </c>
      <c r="H87" t="s">
        <v>73</v>
      </c>
    </row>
    <row r="88" spans="1:8" ht="25.5" customHeight="1">
      <c r="A88" s="15" t="s">
        <v>158</v>
      </c>
      <c r="B88" s="15"/>
    </row>
    <row r="89" spans="1:8" ht="25.5" customHeight="1">
      <c r="A89" s="15" t="s">
        <v>159</v>
      </c>
      <c r="B89" s="60"/>
      <c r="C89" t="s">
        <v>73</v>
      </c>
      <c r="D89" t="s">
        <v>73</v>
      </c>
      <c r="E89" t="s">
        <v>73</v>
      </c>
      <c r="F89" t="s">
        <v>73</v>
      </c>
      <c r="G89" t="s">
        <v>73</v>
      </c>
      <c r="H89" t="s">
        <v>73</v>
      </c>
    </row>
    <row r="90" spans="1:8" ht="25.5" customHeight="1">
      <c r="A90" s="15" t="s">
        <v>160</v>
      </c>
      <c r="B90" s="15"/>
      <c r="C90" t="s">
        <v>73</v>
      </c>
      <c r="D90" t="s">
        <v>73</v>
      </c>
      <c r="E90" t="s">
        <v>73</v>
      </c>
      <c r="F90" t="s">
        <v>73</v>
      </c>
      <c r="G90" t="s">
        <v>73</v>
      </c>
      <c r="H90" t="s">
        <v>73</v>
      </c>
    </row>
    <row r="91" spans="1:8" ht="25.5" customHeight="1">
      <c r="A91" s="15" t="s">
        <v>161</v>
      </c>
      <c r="B91" s="60"/>
    </row>
    <row r="92" spans="1:8" ht="25.5" customHeight="1">
      <c r="A92" s="15" t="s">
        <v>162</v>
      </c>
      <c r="B92" s="15"/>
    </row>
    <row r="93" spans="1:8" ht="25.5" customHeight="1">
      <c r="A93" s="15" t="s">
        <v>163</v>
      </c>
      <c r="B93" s="60"/>
    </row>
    <row r="94" spans="1:8" ht="25.5" customHeight="1">
      <c r="A94" s="15" t="s">
        <v>164</v>
      </c>
      <c r="B94" s="15"/>
    </row>
    <row r="95" spans="1:8" ht="25.5" customHeight="1">
      <c r="A95" s="15" t="s">
        <v>165</v>
      </c>
      <c r="B95" s="60"/>
    </row>
    <row r="96" spans="1:8" ht="25.5" customHeight="1">
      <c r="A96" s="15" t="s">
        <v>166</v>
      </c>
      <c r="B96" s="15"/>
    </row>
    <row r="97" spans="1:8" ht="25.5" customHeight="1">
      <c r="A97" s="15" t="s">
        <v>167</v>
      </c>
      <c r="B97" s="60"/>
      <c r="C97" t="s">
        <v>73</v>
      </c>
      <c r="D97" t="s">
        <v>73</v>
      </c>
      <c r="E97" t="s">
        <v>73</v>
      </c>
      <c r="F97" t="s">
        <v>73</v>
      </c>
      <c r="G97" t="s">
        <v>73</v>
      </c>
      <c r="H97" t="s">
        <v>73</v>
      </c>
    </row>
    <row r="98" spans="1:8" ht="25.5" customHeight="1">
      <c r="A98" s="15" t="s">
        <v>168</v>
      </c>
      <c r="B98" s="15"/>
      <c r="C98" t="s">
        <v>73</v>
      </c>
      <c r="D98" t="s">
        <v>73</v>
      </c>
      <c r="E98" t="s">
        <v>73</v>
      </c>
      <c r="F98" t="s">
        <v>73</v>
      </c>
      <c r="G98" t="s">
        <v>73</v>
      </c>
      <c r="H98" t="s">
        <v>73</v>
      </c>
    </row>
    <row r="99" spans="1:8" ht="25.5" customHeight="1">
      <c r="A99" s="15" t="s">
        <v>169</v>
      </c>
      <c r="B99" s="60"/>
      <c r="C99" t="s">
        <v>73</v>
      </c>
      <c r="D99" t="s">
        <v>73</v>
      </c>
      <c r="E99" t="s">
        <v>73</v>
      </c>
      <c r="F99" t="s">
        <v>73</v>
      </c>
      <c r="G99" t="s">
        <v>73</v>
      </c>
      <c r="H99" t="s">
        <v>73</v>
      </c>
    </row>
    <row r="100" spans="1:8" ht="25.5" customHeight="1">
      <c r="A100" s="15" t="s">
        <v>170</v>
      </c>
      <c r="B100" s="15"/>
    </row>
    <row r="101" spans="1:8" ht="25.5" customHeight="1">
      <c r="A101" s="15" t="s">
        <v>171</v>
      </c>
      <c r="B101" s="60"/>
      <c r="C101" t="s">
        <v>73</v>
      </c>
      <c r="D101" t="s">
        <v>73</v>
      </c>
      <c r="E101" t="s">
        <v>73</v>
      </c>
      <c r="F101" t="s">
        <v>73</v>
      </c>
      <c r="G101" t="s">
        <v>73</v>
      </c>
      <c r="H101" t="s">
        <v>73</v>
      </c>
    </row>
    <row r="102" spans="1:8" ht="25.5" customHeight="1">
      <c r="A102" s="15" t="s">
        <v>172</v>
      </c>
      <c r="B102" s="15"/>
    </row>
    <row r="103" spans="1:8" ht="25.5" customHeight="1">
      <c r="A103" s="15" t="s">
        <v>173</v>
      </c>
      <c r="B103" s="60"/>
      <c r="C103" t="s">
        <v>73</v>
      </c>
      <c r="D103" t="s">
        <v>73</v>
      </c>
      <c r="E103" t="s">
        <v>73</v>
      </c>
      <c r="F103" t="s">
        <v>73</v>
      </c>
      <c r="G103" t="s">
        <v>73</v>
      </c>
      <c r="H103" t="s">
        <v>73</v>
      </c>
    </row>
    <row r="104" spans="1:8" ht="25.5" customHeight="1">
      <c r="A104" s="15" t="s">
        <v>174</v>
      </c>
      <c r="B104" s="15"/>
    </row>
    <row r="105" spans="1:8" ht="25.5" customHeight="1">
      <c r="A105" s="15" t="s">
        <v>175</v>
      </c>
      <c r="B105" s="60"/>
    </row>
    <row r="106" spans="1:8" ht="25.5" customHeight="1">
      <c r="A106" s="15" t="s">
        <v>176</v>
      </c>
      <c r="B106" s="15"/>
      <c r="C106" t="s">
        <v>73</v>
      </c>
      <c r="D106" t="s">
        <v>73</v>
      </c>
      <c r="E106" t="s">
        <v>73</v>
      </c>
      <c r="F106" t="s">
        <v>73</v>
      </c>
      <c r="G106" t="s">
        <v>73</v>
      </c>
      <c r="H106" t="s">
        <v>73</v>
      </c>
    </row>
    <row r="107" spans="1:8" ht="25.5" customHeight="1">
      <c r="A107" s="15" t="s">
        <v>177</v>
      </c>
      <c r="B107" s="60"/>
    </row>
    <row r="108" spans="1:8" ht="25.5" customHeight="1">
      <c r="A108" s="15" t="s">
        <v>178</v>
      </c>
      <c r="B108" s="15"/>
    </row>
    <row r="109" spans="1:8" ht="25.5" customHeight="1">
      <c r="A109" s="15" t="s">
        <v>179</v>
      </c>
      <c r="B109" s="60"/>
    </row>
    <row r="110" spans="1:8" ht="25.5" customHeight="1">
      <c r="A110" s="15" t="s">
        <v>180</v>
      </c>
      <c r="B110" s="15"/>
      <c r="C110" t="s">
        <v>73</v>
      </c>
      <c r="D110" t="s">
        <v>73</v>
      </c>
      <c r="E110" t="s">
        <v>73</v>
      </c>
      <c r="F110" t="s">
        <v>73</v>
      </c>
      <c r="G110" t="s">
        <v>73</v>
      </c>
      <c r="H110" t="s">
        <v>73</v>
      </c>
    </row>
    <row r="111" spans="1:8" ht="25.5" customHeight="1">
      <c r="A111" s="15" t="s">
        <v>181</v>
      </c>
      <c r="B111" s="60"/>
      <c r="C111" t="s">
        <v>73</v>
      </c>
      <c r="D111" t="s">
        <v>73</v>
      </c>
      <c r="E111" t="s">
        <v>73</v>
      </c>
      <c r="F111" t="s">
        <v>73</v>
      </c>
      <c r="G111" t="s">
        <v>73</v>
      </c>
      <c r="H111" t="s">
        <v>73</v>
      </c>
    </row>
    <row r="112" spans="1:8" ht="25.5" customHeight="1">
      <c r="A112" s="15" t="s">
        <v>182</v>
      </c>
      <c r="B112" s="15"/>
    </row>
    <row r="113" spans="1:8" ht="25.5" customHeight="1">
      <c r="A113" s="15" t="s">
        <v>183</v>
      </c>
      <c r="B113" s="60"/>
      <c r="C113" t="s">
        <v>73</v>
      </c>
      <c r="D113" t="s">
        <v>73</v>
      </c>
      <c r="E113" t="s">
        <v>73</v>
      </c>
      <c r="F113" t="s">
        <v>73</v>
      </c>
      <c r="G113" t="s">
        <v>73</v>
      </c>
      <c r="H113" t="s">
        <v>73</v>
      </c>
    </row>
    <row r="114" spans="1:8" ht="25.5" customHeight="1">
      <c r="A114" s="15" t="s">
        <v>184</v>
      </c>
      <c r="B114" s="15"/>
      <c r="C114" t="s">
        <v>73</v>
      </c>
      <c r="D114" t="s">
        <v>73</v>
      </c>
      <c r="E114" t="s">
        <v>73</v>
      </c>
      <c r="F114" t="s">
        <v>73</v>
      </c>
      <c r="G114" t="s">
        <v>73</v>
      </c>
      <c r="H114" t="s">
        <v>73</v>
      </c>
    </row>
    <row r="115" spans="1:8" ht="25.5" customHeight="1">
      <c r="A115" s="15" t="s">
        <v>185</v>
      </c>
      <c r="B115" s="60"/>
      <c r="C115" t="s">
        <v>73</v>
      </c>
      <c r="D115" t="s">
        <v>73</v>
      </c>
      <c r="E115" t="s">
        <v>73</v>
      </c>
      <c r="F115" t="s">
        <v>73</v>
      </c>
      <c r="G115" t="s">
        <v>73</v>
      </c>
      <c r="H115" t="s">
        <v>73</v>
      </c>
    </row>
    <row r="116" spans="1:8" ht="25.5" customHeight="1">
      <c r="A116" s="15" t="s">
        <v>186</v>
      </c>
      <c r="B116" s="15"/>
      <c r="C116" t="s">
        <v>73</v>
      </c>
      <c r="D116" t="s">
        <v>73</v>
      </c>
      <c r="E116" t="s">
        <v>73</v>
      </c>
      <c r="F116" t="s">
        <v>73</v>
      </c>
      <c r="G116" t="s">
        <v>73</v>
      </c>
      <c r="H116" t="s">
        <v>73</v>
      </c>
    </row>
    <row r="117" spans="1:8" ht="25.5" customHeight="1">
      <c r="A117" s="15" t="s">
        <v>187</v>
      </c>
      <c r="B117" s="60"/>
    </row>
    <row r="118" spans="1:8" ht="25.5" customHeight="1">
      <c r="A118" s="15" t="s">
        <v>188</v>
      </c>
      <c r="B118" s="15"/>
    </row>
    <row r="119" spans="1:8" ht="25.5" customHeight="1">
      <c r="A119" s="15" t="s">
        <v>189</v>
      </c>
      <c r="B119" s="60"/>
    </row>
    <row r="120" spans="1:8" ht="25.5" customHeight="1">
      <c r="A120" s="15" t="s">
        <v>190</v>
      </c>
      <c r="B120" s="15"/>
    </row>
    <row r="121" spans="1:8" ht="25.5" customHeight="1">
      <c r="A121" s="15" t="s">
        <v>191</v>
      </c>
      <c r="B121" s="60"/>
    </row>
    <row r="122" spans="1:8" ht="25.5" customHeight="1">
      <c r="A122" s="15" t="s">
        <v>192</v>
      </c>
      <c r="B122" s="15"/>
    </row>
    <row r="123" spans="1:8" ht="25.5" customHeight="1">
      <c r="A123" s="15" t="s">
        <v>193</v>
      </c>
      <c r="B123" s="60"/>
      <c r="C123" t="s">
        <v>73</v>
      </c>
      <c r="D123" t="s">
        <v>73</v>
      </c>
      <c r="E123" t="s">
        <v>73</v>
      </c>
      <c r="F123" t="s">
        <v>73</v>
      </c>
      <c r="G123" t="s">
        <v>73</v>
      </c>
      <c r="H123" t="s">
        <v>73</v>
      </c>
    </row>
    <row r="124" spans="1:8" ht="25.5" customHeight="1">
      <c r="A124" s="15" t="s">
        <v>194</v>
      </c>
      <c r="B124" s="15"/>
    </row>
    <row r="125" spans="1:8" ht="25.5" customHeight="1">
      <c r="A125" s="15" t="s">
        <v>195</v>
      </c>
      <c r="B125" s="60" t="s">
        <v>73</v>
      </c>
      <c r="C125" t="s">
        <v>73</v>
      </c>
      <c r="D125" t="s">
        <v>73</v>
      </c>
      <c r="E125" t="s">
        <v>73</v>
      </c>
      <c r="F125" t="s">
        <v>73</v>
      </c>
      <c r="G125" t="s">
        <v>73</v>
      </c>
      <c r="H125" t="s">
        <v>73</v>
      </c>
    </row>
    <row r="126" spans="1:8" ht="25.5" customHeight="1">
      <c r="A126" s="15" t="s">
        <v>196</v>
      </c>
      <c r="B126" s="15"/>
      <c r="C126" t="s">
        <v>73</v>
      </c>
      <c r="D126" t="s">
        <v>73</v>
      </c>
      <c r="E126" t="s">
        <v>73</v>
      </c>
      <c r="F126" t="s">
        <v>73</v>
      </c>
      <c r="G126" t="s">
        <v>73</v>
      </c>
      <c r="H126" t="s">
        <v>73</v>
      </c>
    </row>
    <row r="127" spans="1:8" ht="25.5" customHeight="1">
      <c r="A127" s="15" t="s">
        <v>197</v>
      </c>
      <c r="B127" s="60" t="s">
        <v>73</v>
      </c>
      <c r="C127" t="s">
        <v>73</v>
      </c>
      <c r="D127" t="s">
        <v>73</v>
      </c>
      <c r="E127" t="s">
        <v>73</v>
      </c>
      <c r="F127" t="s">
        <v>73</v>
      </c>
      <c r="G127" t="s">
        <v>73</v>
      </c>
      <c r="H127" t="s">
        <v>73</v>
      </c>
    </row>
    <row r="128" spans="1:8" ht="25.5" customHeight="1">
      <c r="A128" s="15" t="s">
        <v>198</v>
      </c>
      <c r="B128" s="15" t="s">
        <v>73</v>
      </c>
      <c r="C128" t="s">
        <v>73</v>
      </c>
      <c r="D128" t="s">
        <v>73</v>
      </c>
      <c r="E128" t="s">
        <v>73</v>
      </c>
      <c r="F128" t="s">
        <v>73</v>
      </c>
      <c r="G128" t="s">
        <v>73</v>
      </c>
      <c r="H128" t="s">
        <v>73</v>
      </c>
    </row>
    <row r="129" spans="1:8" ht="25.5" customHeight="1">
      <c r="A129" s="15" t="s">
        <v>199</v>
      </c>
      <c r="B129" s="60" t="s">
        <v>73</v>
      </c>
      <c r="C129" t="s">
        <v>73</v>
      </c>
      <c r="D129" t="s">
        <v>73</v>
      </c>
      <c r="E129" t="s">
        <v>73</v>
      </c>
      <c r="F129" t="s">
        <v>73</v>
      </c>
      <c r="G129" t="s">
        <v>73</v>
      </c>
      <c r="H129" t="s">
        <v>73</v>
      </c>
    </row>
    <row r="130" spans="1:8" ht="25.5" customHeight="1">
      <c r="A130" s="15" t="s">
        <v>200</v>
      </c>
      <c r="B130" s="15"/>
      <c r="C130" t="s">
        <v>73</v>
      </c>
      <c r="D130" t="s">
        <v>73</v>
      </c>
      <c r="E130" t="s">
        <v>73</v>
      </c>
      <c r="F130" t="s">
        <v>73</v>
      </c>
      <c r="G130" t="s">
        <v>73</v>
      </c>
      <c r="H130" t="s">
        <v>73</v>
      </c>
    </row>
    <row r="131" spans="1:8" ht="25.5" customHeight="1">
      <c r="A131" s="15" t="s">
        <v>201</v>
      </c>
      <c r="B131" s="60" t="s">
        <v>73</v>
      </c>
      <c r="C131" t="s">
        <v>73</v>
      </c>
      <c r="D131" t="s">
        <v>73</v>
      </c>
      <c r="E131" t="s">
        <v>73</v>
      </c>
      <c r="F131" t="s">
        <v>73</v>
      </c>
      <c r="G131" t="s">
        <v>73</v>
      </c>
      <c r="H131" t="s">
        <v>73</v>
      </c>
    </row>
    <row r="132" spans="1:8" ht="25.5" customHeight="1">
      <c r="A132" s="15" t="s">
        <v>202</v>
      </c>
      <c r="B132" s="15" t="s">
        <v>73</v>
      </c>
      <c r="C132" t="s">
        <v>73</v>
      </c>
      <c r="D132" t="s">
        <v>73</v>
      </c>
      <c r="E132" t="s">
        <v>73</v>
      </c>
      <c r="F132" t="s">
        <v>73</v>
      </c>
      <c r="G132" t="s">
        <v>73</v>
      </c>
      <c r="H132" t="s">
        <v>73</v>
      </c>
    </row>
    <row r="133" spans="1:8" ht="25.5" customHeight="1">
      <c r="A133" s="15" t="s">
        <v>203</v>
      </c>
      <c r="B133" s="60" t="s">
        <v>73</v>
      </c>
      <c r="C133" t="s">
        <v>73</v>
      </c>
      <c r="D133" t="s">
        <v>73</v>
      </c>
      <c r="E133" t="s">
        <v>71</v>
      </c>
      <c r="F133" t="s">
        <v>73</v>
      </c>
      <c r="G133" t="s">
        <v>71</v>
      </c>
      <c r="H133" t="s">
        <v>71</v>
      </c>
    </row>
    <row r="134" spans="1:8" ht="25.5" customHeight="1">
      <c r="A134" s="15" t="s">
        <v>204</v>
      </c>
      <c r="B134" s="15" t="s">
        <v>73</v>
      </c>
      <c r="C134" t="s">
        <v>73</v>
      </c>
      <c r="D134" t="s">
        <v>73</v>
      </c>
      <c r="E134" t="s">
        <v>73</v>
      </c>
      <c r="F134" t="s">
        <v>73</v>
      </c>
      <c r="G134" t="s">
        <v>73</v>
      </c>
      <c r="H134" t="s">
        <v>73</v>
      </c>
    </row>
    <row r="135" spans="1:8" ht="25.5" customHeight="1">
      <c r="A135" s="15" t="s">
        <v>205</v>
      </c>
      <c r="B135" s="60" t="s">
        <v>73</v>
      </c>
      <c r="C135" t="s">
        <v>73</v>
      </c>
      <c r="D135" t="s">
        <v>73</v>
      </c>
      <c r="E135" t="s">
        <v>73</v>
      </c>
      <c r="F135" t="s">
        <v>73</v>
      </c>
      <c r="G135" t="s">
        <v>73</v>
      </c>
      <c r="H135" t="s">
        <v>73</v>
      </c>
    </row>
    <row r="136" spans="1:8" ht="25.5" customHeight="1">
      <c r="A136" s="15" t="s">
        <v>206</v>
      </c>
      <c r="B136" s="15" t="s">
        <v>73</v>
      </c>
      <c r="C136" t="s">
        <v>73</v>
      </c>
      <c r="D136" t="s">
        <v>73</v>
      </c>
      <c r="E136" t="s">
        <v>73</v>
      </c>
      <c r="F136" t="s">
        <v>73</v>
      </c>
      <c r="G136" t="s">
        <v>73</v>
      </c>
      <c r="H136" t="s">
        <v>73</v>
      </c>
    </row>
    <row r="137" spans="1:8" ht="25.5" customHeight="1">
      <c r="A137" s="15" t="s">
        <v>207</v>
      </c>
      <c r="B137" s="60" t="s">
        <v>73</v>
      </c>
    </row>
    <row r="138" spans="1:8" ht="25.5" customHeight="1">
      <c r="A138" s="15" t="s">
        <v>208</v>
      </c>
      <c r="B138" s="15"/>
    </row>
    <row r="139" spans="1:8" ht="25.5" customHeight="1">
      <c r="A139" s="15" t="s">
        <v>209</v>
      </c>
      <c r="B139" s="60" t="s">
        <v>73</v>
      </c>
      <c r="C139" t="s">
        <v>73</v>
      </c>
      <c r="D139" t="s">
        <v>73</v>
      </c>
      <c r="E139" t="s">
        <v>73</v>
      </c>
      <c r="F139" t="s">
        <v>73</v>
      </c>
      <c r="G139" t="s">
        <v>73</v>
      </c>
      <c r="H139" t="s">
        <v>73</v>
      </c>
    </row>
    <row r="140" spans="1:8" ht="25.5" customHeight="1">
      <c r="A140" s="15" t="s">
        <v>210</v>
      </c>
      <c r="B140" s="15"/>
      <c r="C140" t="s">
        <v>73</v>
      </c>
      <c r="D140" t="s">
        <v>73</v>
      </c>
      <c r="E140" t="s">
        <v>73</v>
      </c>
      <c r="F140" t="s">
        <v>73</v>
      </c>
      <c r="G140" t="s">
        <v>73</v>
      </c>
      <c r="H140" t="s">
        <v>73</v>
      </c>
    </row>
    <row r="141" spans="1:8" ht="25.5" customHeight="1">
      <c r="A141" s="15" t="s">
        <v>211</v>
      </c>
      <c r="B141" s="60"/>
      <c r="C141" t="s">
        <v>73</v>
      </c>
      <c r="D141" t="s">
        <v>73</v>
      </c>
      <c r="E141" t="s">
        <v>73</v>
      </c>
      <c r="F141" t="s">
        <v>73</v>
      </c>
      <c r="G141" t="s">
        <v>73</v>
      </c>
      <c r="H141" t="s">
        <v>73</v>
      </c>
    </row>
    <row r="142" spans="1:8" ht="25.5" customHeight="1">
      <c r="A142" s="15" t="s">
        <v>212</v>
      </c>
      <c r="B142" s="15"/>
      <c r="C142" t="s">
        <v>73</v>
      </c>
      <c r="D142" t="s">
        <v>73</v>
      </c>
      <c r="E142" t="s">
        <v>73</v>
      </c>
      <c r="F142" t="s">
        <v>73</v>
      </c>
      <c r="G142" t="s">
        <v>73</v>
      </c>
      <c r="H142" t="s">
        <v>73</v>
      </c>
    </row>
    <row r="143" spans="1:8" ht="25.5" customHeight="1">
      <c r="A143" s="15" t="s">
        <v>213</v>
      </c>
      <c r="B143" s="60" t="s">
        <v>73</v>
      </c>
      <c r="C143" t="s">
        <v>73</v>
      </c>
      <c r="D143" t="s">
        <v>73</v>
      </c>
      <c r="E143" t="s">
        <v>73</v>
      </c>
      <c r="F143" t="s">
        <v>73</v>
      </c>
      <c r="G143" t="s">
        <v>73</v>
      </c>
      <c r="H143" t="s">
        <v>73</v>
      </c>
    </row>
    <row r="144" spans="1:8" ht="25.5" customHeight="1">
      <c r="A144" s="15" t="s">
        <v>214</v>
      </c>
      <c r="B144" s="15"/>
    </row>
    <row r="145" spans="1:8" ht="25.5" customHeight="1">
      <c r="A145" s="15" t="s">
        <v>215</v>
      </c>
      <c r="B145" s="60"/>
      <c r="C145" t="s">
        <v>73</v>
      </c>
      <c r="D145" t="s">
        <v>73</v>
      </c>
      <c r="E145" t="s">
        <v>73</v>
      </c>
      <c r="F145" t="s">
        <v>73</v>
      </c>
      <c r="G145" t="s">
        <v>73</v>
      </c>
      <c r="H145" t="s">
        <v>73</v>
      </c>
    </row>
    <row r="146" spans="1:8" ht="25.5" customHeight="1">
      <c r="A146" s="15" t="s">
        <v>216</v>
      </c>
      <c r="B146" s="15"/>
    </row>
    <row r="147" spans="1:8" ht="25.5" customHeight="1">
      <c r="A147" s="15" t="s">
        <v>217</v>
      </c>
      <c r="B147" s="60"/>
    </row>
    <row r="148" spans="1:8" ht="25.5" customHeight="1">
      <c r="A148" s="15" t="s">
        <v>218</v>
      </c>
      <c r="B148" s="15"/>
      <c r="C148" t="s">
        <v>73</v>
      </c>
      <c r="D148" t="s">
        <v>73</v>
      </c>
      <c r="E148" t="s">
        <v>73</v>
      </c>
      <c r="F148" t="s">
        <v>73</v>
      </c>
      <c r="G148" t="s">
        <v>73</v>
      </c>
      <c r="H148" t="s">
        <v>73</v>
      </c>
    </row>
    <row r="149" spans="1:8" ht="25.5" customHeight="1">
      <c r="A149" s="15" t="s">
        <v>219</v>
      </c>
      <c r="B149" s="60"/>
    </row>
    <row r="150" spans="1:8" ht="25.5" customHeight="1">
      <c r="A150" s="15" t="s">
        <v>220</v>
      </c>
      <c r="B150" s="15"/>
      <c r="C150" t="s">
        <v>73</v>
      </c>
      <c r="D150" t="s">
        <v>73</v>
      </c>
      <c r="E150" t="s">
        <v>73</v>
      </c>
      <c r="F150" t="s">
        <v>73</v>
      </c>
      <c r="G150" t="s">
        <v>73</v>
      </c>
      <c r="H150" t="s">
        <v>73</v>
      </c>
    </row>
    <row r="151" spans="1:8" ht="25.5" customHeight="1">
      <c r="A151" s="15" t="s">
        <v>221</v>
      </c>
      <c r="B151" s="60"/>
    </row>
    <row r="152" spans="1:8" ht="25.5" customHeight="1">
      <c r="A152" s="15" t="s">
        <v>222</v>
      </c>
      <c r="B152" s="15" t="s">
        <v>73</v>
      </c>
      <c r="C152" t="s">
        <v>73</v>
      </c>
      <c r="D152" t="s">
        <v>73</v>
      </c>
      <c r="E152" t="s">
        <v>73</v>
      </c>
      <c r="F152" t="s">
        <v>73</v>
      </c>
      <c r="G152" t="s">
        <v>73</v>
      </c>
      <c r="H152" t="s">
        <v>73</v>
      </c>
    </row>
    <row r="153" spans="1:8" ht="25.5" customHeight="1">
      <c r="A153" s="15" t="s">
        <v>223</v>
      </c>
      <c r="B153" s="60" t="s">
        <v>73</v>
      </c>
      <c r="C153" t="s">
        <v>73</v>
      </c>
      <c r="D153" t="s">
        <v>73</v>
      </c>
      <c r="E153" t="s">
        <v>73</v>
      </c>
      <c r="F153" t="s">
        <v>73</v>
      </c>
      <c r="G153" t="s">
        <v>73</v>
      </c>
      <c r="H153" t="s">
        <v>73</v>
      </c>
    </row>
    <row r="154" spans="1:8" ht="25.5" customHeight="1">
      <c r="A154" s="15" t="s">
        <v>224</v>
      </c>
      <c r="B154" s="15"/>
      <c r="C154" t="s">
        <v>73</v>
      </c>
      <c r="D154" t="s">
        <v>73</v>
      </c>
      <c r="E154" t="s">
        <v>73</v>
      </c>
      <c r="F154" t="s">
        <v>73</v>
      </c>
      <c r="G154" t="s">
        <v>73</v>
      </c>
      <c r="H154" t="s">
        <v>73</v>
      </c>
    </row>
    <row r="155" spans="1:8" ht="25.5" customHeight="1">
      <c r="A155" s="15" t="s">
        <v>225</v>
      </c>
      <c r="B155" s="60"/>
      <c r="C155" t="s">
        <v>73</v>
      </c>
      <c r="D155" t="s">
        <v>73</v>
      </c>
      <c r="E155" t="s">
        <v>73</v>
      </c>
      <c r="F155" t="s">
        <v>73</v>
      </c>
      <c r="G155" t="s">
        <v>73</v>
      </c>
      <c r="H155" t="s">
        <v>73</v>
      </c>
    </row>
    <row r="156" spans="1:8" ht="25.5" customHeight="1">
      <c r="A156" s="15" t="s">
        <v>226</v>
      </c>
      <c r="B156" s="15"/>
    </row>
    <row r="157" spans="1:8" ht="25.5" customHeight="1">
      <c r="A157" s="15" t="s">
        <v>227</v>
      </c>
      <c r="B157" s="60"/>
      <c r="C157" t="s">
        <v>73</v>
      </c>
      <c r="D157" t="s">
        <v>73</v>
      </c>
      <c r="E157" t="s">
        <v>73</v>
      </c>
      <c r="F157" t="s">
        <v>73</v>
      </c>
      <c r="G157" t="s">
        <v>73</v>
      </c>
      <c r="H157" t="s">
        <v>73</v>
      </c>
    </row>
    <row r="158" spans="1:8" ht="25.5" customHeight="1">
      <c r="A158" s="15" t="s">
        <v>228</v>
      </c>
      <c r="B158" s="15"/>
    </row>
    <row r="159" spans="1:8" ht="25.5" customHeight="1">
      <c r="A159" s="15" t="s">
        <v>229</v>
      </c>
      <c r="B159" s="60"/>
    </row>
    <row r="160" spans="1:8" ht="25.5" customHeight="1">
      <c r="A160" s="15" t="s">
        <v>230</v>
      </c>
      <c r="B160" s="15"/>
    </row>
    <row r="161" spans="1:8" ht="25.5" customHeight="1">
      <c r="A161" s="15" t="s">
        <v>231</v>
      </c>
      <c r="B161" s="60"/>
    </row>
    <row r="162" spans="1:8" ht="25.5" customHeight="1">
      <c r="A162" s="15" t="s">
        <v>232</v>
      </c>
      <c r="B162" s="15" t="s">
        <v>73</v>
      </c>
      <c r="C162" t="s">
        <v>73</v>
      </c>
      <c r="D162" t="s">
        <v>73</v>
      </c>
      <c r="E162" t="s">
        <v>71</v>
      </c>
      <c r="F162" t="s">
        <v>73</v>
      </c>
      <c r="G162" t="s">
        <v>71</v>
      </c>
      <c r="H162" t="s">
        <v>71</v>
      </c>
    </row>
    <row r="163" spans="1:8" ht="25.5" customHeight="1">
      <c r="A163" s="15" t="s">
        <v>233</v>
      </c>
      <c r="B163" s="60"/>
      <c r="C163" t="s">
        <v>73</v>
      </c>
      <c r="D163" t="s">
        <v>73</v>
      </c>
      <c r="E163" t="s">
        <v>73</v>
      </c>
      <c r="F163" t="s">
        <v>73</v>
      </c>
      <c r="G163" t="s">
        <v>73</v>
      </c>
      <c r="H163" t="s">
        <v>73</v>
      </c>
    </row>
    <row r="164" spans="1:8" ht="25.5" customHeight="1">
      <c r="A164" s="15" t="s">
        <v>234</v>
      </c>
      <c r="B164" s="15"/>
    </row>
    <row r="165" spans="1:8" ht="25.5" customHeight="1">
      <c r="A165" s="15" t="s">
        <v>235</v>
      </c>
      <c r="B165" s="60"/>
      <c r="C165" t="s">
        <v>73</v>
      </c>
      <c r="D165" t="s">
        <v>73</v>
      </c>
      <c r="E165" t="s">
        <v>73</v>
      </c>
      <c r="F165" t="s">
        <v>73</v>
      </c>
      <c r="G165" t="s">
        <v>73</v>
      </c>
      <c r="H165" t="s">
        <v>73</v>
      </c>
    </row>
    <row r="166" spans="1:8" ht="25.5" customHeight="1">
      <c r="A166" s="15" t="s">
        <v>236</v>
      </c>
      <c r="B166" s="15"/>
      <c r="C166" t="s">
        <v>73</v>
      </c>
      <c r="D166" t="s">
        <v>73</v>
      </c>
      <c r="E166" t="s">
        <v>73</v>
      </c>
      <c r="F166" t="s">
        <v>73</v>
      </c>
      <c r="G166" t="s">
        <v>73</v>
      </c>
      <c r="H166" t="s">
        <v>73</v>
      </c>
    </row>
    <row r="167" spans="1:8" ht="25.5" customHeight="1">
      <c r="A167" s="15" t="s">
        <v>237</v>
      </c>
      <c r="B167" s="60"/>
      <c r="C167" t="s">
        <v>73</v>
      </c>
      <c r="D167" t="s">
        <v>73</v>
      </c>
      <c r="E167" t="s">
        <v>73</v>
      </c>
      <c r="F167" t="s">
        <v>73</v>
      </c>
      <c r="G167" t="s">
        <v>73</v>
      </c>
      <c r="H167" t="s">
        <v>73</v>
      </c>
    </row>
    <row r="168" spans="1:8" ht="25.5" customHeight="1">
      <c r="A168" s="15" t="s">
        <v>238</v>
      </c>
      <c r="B168" s="15"/>
    </row>
    <row r="169" spans="1:8" ht="25.5" customHeight="1">
      <c r="A169" s="15" t="s">
        <v>239</v>
      </c>
      <c r="B169" s="60"/>
      <c r="C169" t="s">
        <v>73</v>
      </c>
      <c r="D169" t="s">
        <v>73</v>
      </c>
      <c r="E169" t="s">
        <v>73</v>
      </c>
      <c r="F169" t="s">
        <v>73</v>
      </c>
      <c r="G169" t="s">
        <v>73</v>
      </c>
      <c r="H169" t="s">
        <v>73</v>
      </c>
    </row>
    <row r="170" spans="1:8" ht="25.5" customHeight="1">
      <c r="A170" s="15" t="s">
        <v>240</v>
      </c>
      <c r="B170" s="15" t="s">
        <v>73</v>
      </c>
      <c r="C170" t="s">
        <v>73</v>
      </c>
      <c r="D170" t="s">
        <v>73</v>
      </c>
      <c r="E170" t="s">
        <v>71</v>
      </c>
      <c r="F170" t="s">
        <v>73</v>
      </c>
      <c r="G170" t="s">
        <v>71</v>
      </c>
      <c r="H170" t="s">
        <v>71</v>
      </c>
    </row>
    <row r="171" spans="1:8" ht="25.5" customHeight="1">
      <c r="A171" s="15" t="s">
        <v>241</v>
      </c>
      <c r="B171" s="60"/>
    </row>
    <row r="172" spans="1:8" ht="25.5" customHeight="1">
      <c r="A172" s="15" t="s">
        <v>242</v>
      </c>
      <c r="B172" s="15"/>
    </row>
    <row r="173" spans="1:8" ht="25.5" customHeight="1">
      <c r="A173" s="15" t="s">
        <v>243</v>
      </c>
      <c r="B173" s="60"/>
      <c r="C173" t="s">
        <v>73</v>
      </c>
      <c r="D173" t="s">
        <v>73</v>
      </c>
      <c r="E173" t="s">
        <v>73</v>
      </c>
      <c r="F173" t="s">
        <v>73</v>
      </c>
      <c r="G173" t="s">
        <v>73</v>
      </c>
      <c r="H173" t="s">
        <v>73</v>
      </c>
    </row>
    <row r="174" spans="1:8" ht="25.5" customHeight="1">
      <c r="A174" s="15" t="s">
        <v>244</v>
      </c>
      <c r="B174" s="15"/>
      <c r="C174" t="s">
        <v>73</v>
      </c>
      <c r="D174" t="s">
        <v>73</v>
      </c>
      <c r="E174" t="s">
        <v>73</v>
      </c>
      <c r="F174" t="s">
        <v>73</v>
      </c>
      <c r="G174" t="s">
        <v>73</v>
      </c>
      <c r="H174" t="s">
        <v>73</v>
      </c>
    </row>
    <row r="175" spans="1:8" ht="25.5" customHeight="1">
      <c r="A175" s="15" t="s">
        <v>245</v>
      </c>
      <c r="B175" s="60" t="s">
        <v>73</v>
      </c>
      <c r="C175" t="s">
        <v>73</v>
      </c>
      <c r="D175" t="s">
        <v>73</v>
      </c>
      <c r="E175" t="s">
        <v>71</v>
      </c>
      <c r="F175" t="s">
        <v>73</v>
      </c>
      <c r="G175" t="s">
        <v>71</v>
      </c>
      <c r="H175" t="s">
        <v>71</v>
      </c>
    </row>
    <row r="176" spans="1:8" ht="25.5" customHeight="1">
      <c r="A176" s="15" t="s">
        <v>246</v>
      </c>
      <c r="B176" s="15"/>
      <c r="C176" t="s">
        <v>73</v>
      </c>
      <c r="D176" t="s">
        <v>71</v>
      </c>
      <c r="E176" t="s">
        <v>73</v>
      </c>
      <c r="F176" t="s">
        <v>73</v>
      </c>
      <c r="G176" t="s">
        <v>71</v>
      </c>
      <c r="H176" t="s">
        <v>71</v>
      </c>
    </row>
    <row r="177" spans="1:8" ht="25.5" customHeight="1">
      <c r="A177" s="15" t="s">
        <v>247</v>
      </c>
      <c r="B177" s="60"/>
      <c r="C177" t="s">
        <v>73</v>
      </c>
      <c r="D177" t="s">
        <v>73</v>
      </c>
      <c r="E177" t="s">
        <v>73</v>
      </c>
      <c r="F177" t="s">
        <v>73</v>
      </c>
      <c r="G177" t="s">
        <v>73</v>
      </c>
      <c r="H177" t="s">
        <v>73</v>
      </c>
    </row>
    <row r="178" spans="1:8" ht="25.5" customHeight="1">
      <c r="A178" s="15" t="s">
        <v>248</v>
      </c>
      <c r="B178" s="15" t="s">
        <v>73</v>
      </c>
      <c r="C178" t="s">
        <v>73</v>
      </c>
      <c r="D178" t="s">
        <v>73</v>
      </c>
      <c r="E178" t="s">
        <v>73</v>
      </c>
      <c r="F178" t="s">
        <v>73</v>
      </c>
      <c r="G178" t="s">
        <v>73</v>
      </c>
      <c r="H178" t="s">
        <v>73</v>
      </c>
    </row>
    <row r="179" spans="1:8" ht="25.5" customHeight="1">
      <c r="A179" s="15" t="s">
        <v>249</v>
      </c>
      <c r="B179" s="60" t="s">
        <v>73</v>
      </c>
      <c r="C179" t="s">
        <v>73</v>
      </c>
      <c r="D179" t="s">
        <v>73</v>
      </c>
      <c r="E179" t="s">
        <v>73</v>
      </c>
      <c r="F179" t="s">
        <v>73</v>
      </c>
      <c r="G179" t="s">
        <v>73</v>
      </c>
      <c r="H179" t="s">
        <v>73</v>
      </c>
    </row>
    <row r="180" spans="1:8" ht="25.5" customHeight="1">
      <c r="A180" s="15" t="s">
        <v>250</v>
      </c>
      <c r="B180" s="15"/>
      <c r="C180" t="s">
        <v>73</v>
      </c>
      <c r="D180" t="s">
        <v>73</v>
      </c>
      <c r="E180" t="s">
        <v>73</v>
      </c>
      <c r="F180" t="s">
        <v>73</v>
      </c>
      <c r="G180" t="s">
        <v>73</v>
      </c>
      <c r="H180" t="s">
        <v>73</v>
      </c>
    </row>
    <row r="181" spans="1:8" ht="25.5" customHeight="1">
      <c r="A181" s="15" t="s">
        <v>251</v>
      </c>
      <c r="B181" s="60"/>
      <c r="C181" t="s">
        <v>73</v>
      </c>
      <c r="D181" t="s">
        <v>73</v>
      </c>
      <c r="E181" t="s">
        <v>73</v>
      </c>
      <c r="F181" t="s">
        <v>73</v>
      </c>
      <c r="G181" t="s">
        <v>73</v>
      </c>
      <c r="H181" t="s">
        <v>73</v>
      </c>
    </row>
    <row r="182" spans="1:8" ht="25.5" customHeight="1">
      <c r="A182" s="15" t="s">
        <v>252</v>
      </c>
      <c r="B182" s="15" t="s">
        <v>73</v>
      </c>
      <c r="C182" t="s">
        <v>73</v>
      </c>
      <c r="D182" t="s">
        <v>73</v>
      </c>
      <c r="E182" t="s">
        <v>73</v>
      </c>
      <c r="F182" t="s">
        <v>73</v>
      </c>
      <c r="G182" t="s">
        <v>73</v>
      </c>
      <c r="H182" t="s">
        <v>73</v>
      </c>
    </row>
    <row r="183" spans="1:8" ht="25.5" customHeight="1">
      <c r="A183" s="15" t="s">
        <v>253</v>
      </c>
      <c r="B183" s="60" t="s">
        <v>73</v>
      </c>
      <c r="C183" t="s">
        <v>73</v>
      </c>
      <c r="D183" t="s">
        <v>73</v>
      </c>
      <c r="E183" t="s">
        <v>73</v>
      </c>
      <c r="F183" t="s">
        <v>73</v>
      </c>
      <c r="G183" t="s">
        <v>73</v>
      </c>
      <c r="H183" t="s">
        <v>73</v>
      </c>
    </row>
    <row r="184" spans="1:8" ht="25.5" customHeight="1">
      <c r="A184" s="15" t="s">
        <v>254</v>
      </c>
      <c r="B184" s="15" t="s">
        <v>73</v>
      </c>
      <c r="C184" t="s">
        <v>73</v>
      </c>
      <c r="D184" t="s">
        <v>73</v>
      </c>
      <c r="E184" t="s">
        <v>73</v>
      </c>
      <c r="F184" t="s">
        <v>73</v>
      </c>
      <c r="G184" t="s">
        <v>73</v>
      </c>
      <c r="H184" t="s">
        <v>73</v>
      </c>
    </row>
    <row r="185" spans="1:8" ht="25.5" customHeight="1">
      <c r="A185" s="15" t="s">
        <v>255</v>
      </c>
      <c r="B185" s="15" t="s">
        <v>73</v>
      </c>
      <c r="C185" t="s">
        <v>73</v>
      </c>
      <c r="D185" t="s">
        <v>73</v>
      </c>
      <c r="E185" t="s">
        <v>73</v>
      </c>
      <c r="F185" t="s">
        <v>73</v>
      </c>
      <c r="G185" t="s">
        <v>73</v>
      </c>
      <c r="H185" t="s">
        <v>73</v>
      </c>
    </row>
    <row r="186" spans="1:8" ht="25.5" customHeight="1">
      <c r="A186" s="15" t="s">
        <v>256</v>
      </c>
      <c r="B186" s="15" t="s">
        <v>73</v>
      </c>
      <c r="C186" t="s">
        <v>73</v>
      </c>
      <c r="D186" t="s">
        <v>73</v>
      </c>
      <c r="E186" t="s">
        <v>71</v>
      </c>
      <c r="F186" t="s">
        <v>73</v>
      </c>
      <c r="G186" t="s">
        <v>71</v>
      </c>
      <c r="H186" t="s">
        <v>71</v>
      </c>
    </row>
    <row r="187" spans="1:8" ht="25.5" customHeight="1">
      <c r="A187" s="15" t="s">
        <v>257</v>
      </c>
      <c r="B187" s="15" t="s">
        <v>73</v>
      </c>
      <c r="C187" t="s">
        <v>73</v>
      </c>
      <c r="D187" t="s">
        <v>73</v>
      </c>
      <c r="E187" t="s">
        <v>71</v>
      </c>
      <c r="F187" t="s">
        <v>73</v>
      </c>
      <c r="G187" t="s">
        <v>71</v>
      </c>
      <c r="H187" t="s">
        <v>71</v>
      </c>
    </row>
    <row r="188" spans="1:8" ht="25.5" customHeight="1">
      <c r="A188" s="15" t="s">
        <v>258</v>
      </c>
      <c r="B188" s="15" t="s">
        <v>73</v>
      </c>
      <c r="C188" t="s">
        <v>73</v>
      </c>
      <c r="D188" t="s">
        <v>73</v>
      </c>
      <c r="E188" t="s">
        <v>71</v>
      </c>
      <c r="F188" t="s">
        <v>73</v>
      </c>
      <c r="G188" t="s">
        <v>71</v>
      </c>
      <c r="H188" t="s">
        <v>71</v>
      </c>
    </row>
    <row r="189" spans="1:8" ht="25.5" customHeight="1">
      <c r="A189" s="15" t="s">
        <v>259</v>
      </c>
      <c r="B189" s="15" t="s">
        <v>71</v>
      </c>
    </row>
    <row r="190" spans="1:8" ht="25.5" customHeight="1">
      <c r="A190" s="15" t="s">
        <v>260</v>
      </c>
      <c r="B190" s="15" t="s">
        <v>73</v>
      </c>
      <c r="C190" t="s">
        <v>73</v>
      </c>
      <c r="D190" t="s">
        <v>73</v>
      </c>
      <c r="E190" t="s">
        <v>73</v>
      </c>
      <c r="F190" t="s">
        <v>73</v>
      </c>
      <c r="G190" t="s">
        <v>71</v>
      </c>
      <c r="H190" t="s">
        <v>71</v>
      </c>
    </row>
    <row r="191" spans="1:8" ht="25.5" customHeight="1">
      <c r="A191" s="15" t="s">
        <v>261</v>
      </c>
      <c r="B191" s="15" t="s">
        <v>73</v>
      </c>
      <c r="C191" t="s">
        <v>73</v>
      </c>
      <c r="D191" t="s">
        <v>73</v>
      </c>
      <c r="E191" t="s">
        <v>73</v>
      </c>
      <c r="F191" t="s">
        <v>73</v>
      </c>
      <c r="G191" t="s">
        <v>73</v>
      </c>
      <c r="H191" t="s">
        <v>73</v>
      </c>
    </row>
    <row r="192" spans="1:8" ht="25.5" customHeight="1">
      <c r="A192" s="15" t="s">
        <v>262</v>
      </c>
      <c r="B192" s="15" t="s">
        <v>73</v>
      </c>
      <c r="C192" t="s">
        <v>73</v>
      </c>
      <c r="D192" t="s">
        <v>73</v>
      </c>
      <c r="E192" t="s">
        <v>73</v>
      </c>
      <c r="F192" t="s">
        <v>73</v>
      </c>
      <c r="G192" t="s">
        <v>73</v>
      </c>
      <c r="H192" t="s">
        <v>73</v>
      </c>
    </row>
    <row r="193" spans="1:8" ht="25.5" customHeight="1">
      <c r="A193" s="15" t="s">
        <v>263</v>
      </c>
      <c r="B193" s="15" t="s">
        <v>73</v>
      </c>
      <c r="C193" t="s">
        <v>73</v>
      </c>
      <c r="D193" t="s">
        <v>73</v>
      </c>
      <c r="E193" t="s">
        <v>73</v>
      </c>
      <c r="F193" t="s">
        <v>73</v>
      </c>
      <c r="G193" t="s">
        <v>73</v>
      </c>
      <c r="H193" t="s">
        <v>73</v>
      </c>
    </row>
    <row r="194" spans="1:8" ht="25.5" customHeight="1">
      <c r="A194" s="15" t="s">
        <v>264</v>
      </c>
      <c r="B194" s="15" t="s">
        <v>73</v>
      </c>
      <c r="C194" t="s">
        <v>73</v>
      </c>
      <c r="D194" t="s">
        <v>73</v>
      </c>
      <c r="E194" t="s">
        <v>71</v>
      </c>
      <c r="F194" t="s">
        <v>73</v>
      </c>
      <c r="G194" t="s">
        <v>71</v>
      </c>
      <c r="H194" t="s">
        <v>71</v>
      </c>
    </row>
    <row r="195" spans="1:8" ht="25.5" customHeight="1">
      <c r="A195" s="15" t="s">
        <v>265</v>
      </c>
      <c r="B195" s="15" t="s">
        <v>73</v>
      </c>
      <c r="C195" t="s">
        <v>73</v>
      </c>
      <c r="D195" t="s">
        <v>73</v>
      </c>
      <c r="E195" t="s">
        <v>71</v>
      </c>
      <c r="F195" t="s">
        <v>73</v>
      </c>
      <c r="G195" t="s">
        <v>71</v>
      </c>
      <c r="H195" t="s">
        <v>71</v>
      </c>
    </row>
    <row r="196" spans="1:8" ht="25.5" customHeight="1">
      <c r="A196" s="15" t="s">
        <v>266</v>
      </c>
      <c r="B196" s="15" t="s">
        <v>73</v>
      </c>
      <c r="C196" t="s">
        <v>73</v>
      </c>
      <c r="D196" t="s">
        <v>73</v>
      </c>
      <c r="E196" t="s">
        <v>71</v>
      </c>
      <c r="F196" t="s">
        <v>73</v>
      </c>
      <c r="G196" t="s">
        <v>71</v>
      </c>
      <c r="H196" t="s">
        <v>71</v>
      </c>
    </row>
    <row r="197" spans="1:8" ht="25.5" customHeight="1">
      <c r="A197" s="15" t="s">
        <v>267</v>
      </c>
      <c r="B197" s="15" t="s">
        <v>73</v>
      </c>
      <c r="C197" t="s">
        <v>73</v>
      </c>
      <c r="D197" t="s">
        <v>73</v>
      </c>
      <c r="E197" t="s">
        <v>71</v>
      </c>
      <c r="F197" t="s">
        <v>73</v>
      </c>
      <c r="G197" t="s">
        <v>71</v>
      </c>
      <c r="H197" t="s">
        <v>71</v>
      </c>
    </row>
    <row r="198" spans="1:8" ht="25.5" customHeight="1">
      <c r="A198" s="59" t="s">
        <v>268</v>
      </c>
      <c r="B198" s="15" t="s">
        <v>73</v>
      </c>
      <c r="C198" t="s">
        <v>73</v>
      </c>
      <c r="D198" t="s">
        <v>73</v>
      </c>
      <c r="E198" t="s">
        <v>71</v>
      </c>
      <c r="F198" t="s">
        <v>73</v>
      </c>
      <c r="G198" t="s">
        <v>71</v>
      </c>
      <c r="H198" t="s">
        <v>71</v>
      </c>
    </row>
    <row r="199" spans="1:8" ht="25.5" customHeight="1">
      <c r="A199" s="15" t="s">
        <v>269</v>
      </c>
      <c r="B199" s="43"/>
    </row>
    <row r="200" spans="1:8" ht="25.5" customHeight="1">
      <c r="A200" s="15" t="s">
        <v>270</v>
      </c>
      <c r="B200" s="43"/>
    </row>
    <row r="201" spans="1:8" ht="25.5" customHeight="1">
      <c r="A201" s="15" t="s">
        <v>271</v>
      </c>
      <c r="B201" s="43"/>
    </row>
    <row r="202" spans="1:8" ht="25.5" customHeight="1">
      <c r="A202" s="15" t="s">
        <v>272</v>
      </c>
      <c r="B202" s="43"/>
    </row>
    <row r="203" spans="1:8" ht="25.5" customHeight="1">
      <c r="A203" s="15" t="s">
        <v>273</v>
      </c>
      <c r="B203" s="43"/>
    </row>
    <row r="204" spans="1:8" ht="25.5" customHeight="1">
      <c r="A204" s="15" t="s">
        <v>274</v>
      </c>
      <c r="B204" s="43"/>
    </row>
    <row r="205" spans="1:8" ht="25.5" customHeight="1">
      <c r="A205" s="15" t="s">
        <v>275</v>
      </c>
      <c r="B205" s="43"/>
    </row>
    <row r="206" spans="1:8" ht="25.5" customHeight="1">
      <c r="A206" s="15" t="s">
        <v>276</v>
      </c>
      <c r="B206" s="43"/>
    </row>
    <row r="207" spans="1:8" ht="25.5" customHeight="1">
      <c r="A207" s="15" t="s">
        <v>277</v>
      </c>
      <c r="B207" s="43"/>
    </row>
    <row r="208" spans="1:8" ht="25.5" customHeight="1">
      <c r="A208" s="15" t="s">
        <v>278</v>
      </c>
      <c r="B208" s="43"/>
    </row>
    <row r="209" spans="1:8" ht="25.5" customHeight="1">
      <c r="A209" s="15" t="s">
        <v>279</v>
      </c>
      <c r="B209" s="43"/>
    </row>
    <row r="210" spans="1:8" ht="25.5" customHeight="1">
      <c r="A210" s="15" t="s">
        <v>280</v>
      </c>
      <c r="B210" s="43"/>
    </row>
    <row r="211" spans="1:8" ht="25.5" customHeight="1">
      <c r="A211" s="15" t="s">
        <v>281</v>
      </c>
      <c r="B211" s="43"/>
      <c r="C211" t="s">
        <v>73</v>
      </c>
      <c r="D211" t="s">
        <v>73</v>
      </c>
      <c r="E211" t="s">
        <v>71</v>
      </c>
      <c r="F211" t="s">
        <v>73</v>
      </c>
      <c r="G211" t="s">
        <v>71</v>
      </c>
      <c r="H211" t="s">
        <v>71</v>
      </c>
    </row>
    <row r="212" spans="1:8" ht="25.5" customHeight="1">
      <c r="A212" s="15" t="s">
        <v>282</v>
      </c>
      <c r="B212" s="43"/>
    </row>
    <row r="213" spans="1:8" ht="25.5" customHeight="1">
      <c r="A213" s="15" t="s">
        <v>283</v>
      </c>
      <c r="B213" s="43"/>
    </row>
    <row r="214" spans="1:8" ht="25.5" customHeight="1">
      <c r="A214" s="15" t="s">
        <v>284</v>
      </c>
      <c r="B214" s="43"/>
    </row>
    <row r="215" spans="1:8" ht="25.5" customHeight="1">
      <c r="A215" s="15" t="s">
        <v>285</v>
      </c>
      <c r="B215" s="43"/>
    </row>
    <row r="216" spans="1:8" ht="25.5" customHeight="1">
      <c r="A216" s="15" t="s">
        <v>286</v>
      </c>
      <c r="B216" s="43"/>
    </row>
    <row r="217" spans="1:8" ht="25.5" customHeight="1">
      <c r="A217" s="15" t="s">
        <v>287</v>
      </c>
      <c r="B217" s="43"/>
    </row>
    <row r="218" spans="1:8" ht="25.5" customHeight="1">
      <c r="A218" s="15" t="s">
        <v>288</v>
      </c>
      <c r="B218" s="43"/>
    </row>
    <row r="219" spans="1:8" ht="25.5" customHeight="1">
      <c r="A219" s="15" t="s">
        <v>289</v>
      </c>
      <c r="B219" s="43"/>
    </row>
    <row r="220" spans="1:8" ht="25.5" customHeight="1">
      <c r="A220" s="15" t="s">
        <v>290</v>
      </c>
      <c r="B220" s="43"/>
    </row>
    <row r="221" spans="1:8" ht="25.5" customHeight="1">
      <c r="A221" s="15" t="s">
        <v>291</v>
      </c>
      <c r="B221" s="43"/>
      <c r="C221" t="s">
        <v>73</v>
      </c>
      <c r="D221" t="s">
        <v>71</v>
      </c>
      <c r="E221" t="s">
        <v>71</v>
      </c>
      <c r="F221" t="s">
        <v>73</v>
      </c>
      <c r="G221" t="s">
        <v>71</v>
      </c>
      <c r="H221" t="s">
        <v>71</v>
      </c>
    </row>
    <row r="222" spans="1:8" ht="25.5" customHeight="1">
      <c r="A222" s="15" t="s">
        <v>292</v>
      </c>
      <c r="B222" s="43"/>
      <c r="C222" t="s">
        <v>71</v>
      </c>
      <c r="D222" t="s">
        <v>71</v>
      </c>
      <c r="E222" t="s">
        <v>71</v>
      </c>
      <c r="F222" t="s">
        <v>73</v>
      </c>
      <c r="G222" t="s">
        <v>71</v>
      </c>
      <c r="H222" t="s">
        <v>71</v>
      </c>
    </row>
    <row r="223" spans="1:8" ht="25.5" customHeight="1">
      <c r="A223" s="15" t="s">
        <v>293</v>
      </c>
      <c r="B223" s="43"/>
      <c r="C223" t="s">
        <v>71</v>
      </c>
      <c r="D223" t="s">
        <v>71</v>
      </c>
      <c r="E223" t="s">
        <v>71</v>
      </c>
      <c r="F223" t="s">
        <v>73</v>
      </c>
      <c r="G223" t="s">
        <v>71</v>
      </c>
      <c r="H223" t="s">
        <v>71</v>
      </c>
    </row>
    <row r="224" spans="1:8" ht="25.5" customHeight="1">
      <c r="A224" s="15" t="s">
        <v>294</v>
      </c>
      <c r="B224" s="43"/>
      <c r="C224" t="s">
        <v>71</v>
      </c>
      <c r="D224" t="s">
        <v>71</v>
      </c>
      <c r="E224" t="s">
        <v>71</v>
      </c>
      <c r="F224" t="s">
        <v>73</v>
      </c>
      <c r="G224" t="s">
        <v>71</v>
      </c>
      <c r="H224" t="s">
        <v>71</v>
      </c>
    </row>
    <row r="225" spans="1:8" ht="25.5" customHeight="1">
      <c r="A225" s="15" t="s">
        <v>295</v>
      </c>
      <c r="B225" s="43"/>
      <c r="C225" t="s">
        <v>71</v>
      </c>
      <c r="D225" t="s">
        <v>71</v>
      </c>
      <c r="E225" t="s">
        <v>71</v>
      </c>
      <c r="F225" t="s">
        <v>73</v>
      </c>
      <c r="G225" t="s">
        <v>71</v>
      </c>
      <c r="H225" t="s">
        <v>71</v>
      </c>
    </row>
    <row r="226" spans="1:8" ht="25.5" customHeight="1">
      <c r="A226" s="15" t="s">
        <v>296</v>
      </c>
      <c r="B226" s="43"/>
      <c r="C226" t="s">
        <v>71</v>
      </c>
      <c r="D226" t="s">
        <v>71</v>
      </c>
      <c r="E226" t="s">
        <v>71</v>
      </c>
      <c r="F226" t="s">
        <v>73</v>
      </c>
      <c r="G226" t="s">
        <v>71</v>
      </c>
      <c r="H226" t="s">
        <v>71</v>
      </c>
    </row>
    <row r="227" spans="1:8" ht="25.5" customHeight="1">
      <c r="A227" s="15" t="s">
        <v>297</v>
      </c>
      <c r="B227" s="43"/>
      <c r="C227" t="s">
        <v>71</v>
      </c>
      <c r="D227" t="s">
        <v>71</v>
      </c>
      <c r="E227" t="s">
        <v>71</v>
      </c>
      <c r="F227" t="s">
        <v>73</v>
      </c>
      <c r="G227" t="s">
        <v>71</v>
      </c>
      <c r="H227" t="s">
        <v>71</v>
      </c>
    </row>
    <row r="228" spans="1:8" ht="25.5" customHeight="1">
      <c r="A228" s="15" t="s">
        <v>298</v>
      </c>
      <c r="B228" s="43"/>
      <c r="C228" t="s">
        <v>71</v>
      </c>
      <c r="D228" t="s">
        <v>71</v>
      </c>
      <c r="E228" t="s">
        <v>71</v>
      </c>
      <c r="F228" t="s">
        <v>73</v>
      </c>
      <c r="G228" t="s">
        <v>71</v>
      </c>
      <c r="H228" t="s">
        <v>71</v>
      </c>
    </row>
    <row r="229" spans="1:8" ht="25.5" customHeight="1">
      <c r="A229" s="15" t="s">
        <v>299</v>
      </c>
      <c r="B229" s="43"/>
      <c r="C229" t="s">
        <v>73</v>
      </c>
      <c r="D229" t="s">
        <v>71</v>
      </c>
      <c r="E229" t="s">
        <v>71</v>
      </c>
      <c r="F229" t="s">
        <v>73</v>
      </c>
      <c r="G229" t="s">
        <v>71</v>
      </c>
      <c r="H229" t="s">
        <v>71</v>
      </c>
    </row>
    <row r="230" spans="1:8" ht="25.5" customHeight="1">
      <c r="A230" s="15" t="s">
        <v>300</v>
      </c>
      <c r="B230" s="43"/>
      <c r="C230" t="s">
        <v>73</v>
      </c>
      <c r="D230" t="s">
        <v>71</v>
      </c>
      <c r="E230" t="s">
        <v>71</v>
      </c>
      <c r="F230" t="s">
        <v>73</v>
      </c>
      <c r="G230" t="s">
        <v>71</v>
      </c>
      <c r="H230" t="s">
        <v>71</v>
      </c>
    </row>
    <row r="231" spans="1:8" ht="25.5" customHeight="1">
      <c r="A231" s="15" t="s">
        <v>301</v>
      </c>
      <c r="B231" s="43"/>
      <c r="C231" t="s">
        <v>71</v>
      </c>
      <c r="D231" t="s">
        <v>71</v>
      </c>
      <c r="E231" t="s">
        <v>71</v>
      </c>
      <c r="F231" t="s">
        <v>73</v>
      </c>
      <c r="G231" t="s">
        <v>71</v>
      </c>
      <c r="H231" t="s">
        <v>71</v>
      </c>
    </row>
    <row r="232" spans="1:8" ht="25.5" customHeight="1">
      <c r="A232" s="15" t="s">
        <v>302</v>
      </c>
      <c r="B232" s="43"/>
      <c r="C232" t="s">
        <v>71</v>
      </c>
      <c r="D232" t="s">
        <v>71</v>
      </c>
      <c r="E232" t="s">
        <v>71</v>
      </c>
      <c r="F232" t="s">
        <v>73</v>
      </c>
      <c r="G232" t="s">
        <v>71</v>
      </c>
      <c r="H232" t="s">
        <v>71</v>
      </c>
    </row>
    <row r="233" spans="1:8" ht="25.5" customHeight="1">
      <c r="A233" s="15" t="s">
        <v>303</v>
      </c>
      <c r="B233" s="43"/>
      <c r="C233" t="s">
        <v>71</v>
      </c>
      <c r="D233" t="s">
        <v>71</v>
      </c>
      <c r="E233" t="s">
        <v>71</v>
      </c>
      <c r="F233" t="s">
        <v>73</v>
      </c>
      <c r="G233" t="s">
        <v>71</v>
      </c>
      <c r="H233" t="s">
        <v>71</v>
      </c>
    </row>
    <row r="234" spans="1:8" ht="25.5" customHeight="1">
      <c r="A234" s="15" t="s">
        <v>304</v>
      </c>
      <c r="B234" s="43"/>
      <c r="C234" t="s">
        <v>71</v>
      </c>
      <c r="D234" t="s">
        <v>71</v>
      </c>
      <c r="E234" t="s">
        <v>71</v>
      </c>
      <c r="F234" t="s">
        <v>73</v>
      </c>
      <c r="G234" t="s">
        <v>71</v>
      </c>
      <c r="H234" t="s">
        <v>71</v>
      </c>
    </row>
    <row r="235" spans="1:8" ht="25.5" customHeight="1">
      <c r="A235" s="15" t="s">
        <v>305</v>
      </c>
      <c r="B235" s="43"/>
      <c r="C235" t="s">
        <v>71</v>
      </c>
      <c r="D235" t="s">
        <v>71</v>
      </c>
      <c r="E235" t="s">
        <v>71</v>
      </c>
      <c r="F235" t="s">
        <v>73</v>
      </c>
      <c r="G235" t="s">
        <v>71</v>
      </c>
      <c r="H235" t="s">
        <v>71</v>
      </c>
    </row>
    <row r="236" spans="1:8" ht="25.5" customHeight="1">
      <c r="A236" s="15" t="s">
        <v>306</v>
      </c>
      <c r="B236" s="43"/>
      <c r="C236" t="s">
        <v>71</v>
      </c>
      <c r="D236" t="s">
        <v>71</v>
      </c>
      <c r="E236" t="s">
        <v>71</v>
      </c>
      <c r="F236" t="s">
        <v>73</v>
      </c>
      <c r="G236" t="s">
        <v>71</v>
      </c>
      <c r="H236" t="s">
        <v>71</v>
      </c>
    </row>
    <row r="237" spans="1:8" ht="25.5" customHeight="1">
      <c r="A237" s="15" t="s">
        <v>307</v>
      </c>
      <c r="B237" s="43"/>
      <c r="C237" t="s">
        <v>73</v>
      </c>
      <c r="D237" t="s">
        <v>71</v>
      </c>
      <c r="E237" t="s">
        <v>71</v>
      </c>
      <c r="F237" t="s">
        <v>73</v>
      </c>
      <c r="G237" t="s">
        <v>71</v>
      </c>
      <c r="H237" t="s">
        <v>71</v>
      </c>
    </row>
    <row r="238" spans="1:8" ht="25.5" customHeight="1">
      <c r="A238" s="15" t="s">
        <v>308</v>
      </c>
      <c r="B238" s="43"/>
      <c r="C238" t="s">
        <v>73</v>
      </c>
      <c r="D238" t="s">
        <v>71</v>
      </c>
      <c r="E238" t="s">
        <v>71</v>
      </c>
      <c r="F238" t="s">
        <v>73</v>
      </c>
      <c r="G238" t="s">
        <v>71</v>
      </c>
      <c r="H238" t="s">
        <v>71</v>
      </c>
    </row>
    <row r="239" spans="1:8" ht="25.5" customHeight="1">
      <c r="A239" s="15" t="s">
        <v>309</v>
      </c>
      <c r="B239" s="43"/>
      <c r="C239" t="s">
        <v>73</v>
      </c>
      <c r="D239" t="s">
        <v>71</v>
      </c>
      <c r="E239" t="s">
        <v>71</v>
      </c>
      <c r="F239" t="s">
        <v>73</v>
      </c>
      <c r="G239" t="s">
        <v>71</v>
      </c>
      <c r="H239" t="s">
        <v>71</v>
      </c>
    </row>
    <row r="240" spans="1:8" ht="25.5" customHeight="1">
      <c r="A240" s="15" t="s">
        <v>310</v>
      </c>
      <c r="B240" s="43"/>
      <c r="C240" t="s">
        <v>73</v>
      </c>
      <c r="D240" t="s">
        <v>71</v>
      </c>
      <c r="E240" t="s">
        <v>71</v>
      </c>
      <c r="F240" t="s">
        <v>73</v>
      </c>
      <c r="G240" t="s">
        <v>71</v>
      </c>
      <c r="H240" t="s">
        <v>71</v>
      </c>
    </row>
    <row r="241" spans="1:8" ht="25.5" customHeight="1">
      <c r="A241" s="15" t="s">
        <v>311</v>
      </c>
      <c r="B241" s="43"/>
      <c r="C241" t="s">
        <v>73</v>
      </c>
      <c r="D241" t="s">
        <v>71</v>
      </c>
      <c r="E241" t="s">
        <v>71</v>
      </c>
      <c r="F241" t="s">
        <v>73</v>
      </c>
      <c r="G241" t="s">
        <v>71</v>
      </c>
      <c r="H241" t="s">
        <v>71</v>
      </c>
    </row>
    <row r="242" spans="1:8" ht="25.5" customHeight="1">
      <c r="A242" s="15" t="s">
        <v>312</v>
      </c>
      <c r="B242" s="43"/>
      <c r="C242" t="s">
        <v>73</v>
      </c>
      <c r="D242" t="s">
        <v>71</v>
      </c>
      <c r="E242" t="s">
        <v>71</v>
      </c>
      <c r="F242" t="s">
        <v>73</v>
      </c>
      <c r="G242" t="s">
        <v>71</v>
      </c>
      <c r="H242" t="s">
        <v>71</v>
      </c>
    </row>
    <row r="243" spans="1:8" ht="25.5" customHeight="1">
      <c r="A243" s="15" t="s">
        <v>313</v>
      </c>
      <c r="B243" s="43"/>
      <c r="C243" t="s">
        <v>73</v>
      </c>
      <c r="D243" t="s">
        <v>71</v>
      </c>
      <c r="E243" t="s">
        <v>71</v>
      </c>
      <c r="F243" t="s">
        <v>73</v>
      </c>
      <c r="G243" t="s">
        <v>71</v>
      </c>
      <c r="H243" t="s">
        <v>71</v>
      </c>
    </row>
    <row r="244" spans="1:8" ht="25.5" customHeight="1">
      <c r="A244" s="15" t="s">
        <v>314</v>
      </c>
      <c r="B244" s="43"/>
      <c r="C244" t="s">
        <v>71</v>
      </c>
      <c r="D244" t="s">
        <v>71</v>
      </c>
      <c r="E244" t="s">
        <v>71</v>
      </c>
      <c r="F244" t="s">
        <v>73</v>
      </c>
      <c r="G244" t="s">
        <v>71</v>
      </c>
      <c r="H244" t="s">
        <v>71</v>
      </c>
    </row>
    <row r="245" spans="1:8" ht="25.5" customHeight="1">
      <c r="A245" s="15" t="s">
        <v>315</v>
      </c>
      <c r="B245" s="43"/>
      <c r="C245" t="s">
        <v>71</v>
      </c>
      <c r="D245" t="s">
        <v>71</v>
      </c>
      <c r="E245" t="s">
        <v>71</v>
      </c>
      <c r="F245" t="s">
        <v>73</v>
      </c>
      <c r="G245" t="s">
        <v>71</v>
      </c>
      <c r="H245" t="s">
        <v>71</v>
      </c>
    </row>
    <row r="246" spans="1:8" ht="25.5" customHeight="1">
      <c r="A246" s="15" t="s">
        <v>316</v>
      </c>
      <c r="B246" s="43"/>
      <c r="C246" t="s">
        <v>73</v>
      </c>
      <c r="D246" t="s">
        <v>71</v>
      </c>
      <c r="E246" t="s">
        <v>71</v>
      </c>
      <c r="F246" t="s">
        <v>73</v>
      </c>
      <c r="G246" t="s">
        <v>71</v>
      </c>
      <c r="H246" t="s">
        <v>71</v>
      </c>
    </row>
    <row r="247" spans="1:8" ht="25.5" customHeight="1">
      <c r="A247" s="15" t="s">
        <v>317</v>
      </c>
      <c r="B247" s="43"/>
      <c r="C247" t="s">
        <v>71</v>
      </c>
      <c r="D247" t="s">
        <v>71</v>
      </c>
      <c r="E247" t="s">
        <v>71</v>
      </c>
      <c r="F247" t="s">
        <v>73</v>
      </c>
      <c r="G247" t="s">
        <v>71</v>
      </c>
      <c r="H247" t="s">
        <v>71</v>
      </c>
    </row>
    <row r="248" spans="1:8" ht="25.5" customHeight="1">
      <c r="A248" s="15" t="s">
        <v>318</v>
      </c>
      <c r="B248" s="43"/>
      <c r="C248" t="s">
        <v>73</v>
      </c>
      <c r="D248" t="s">
        <v>73</v>
      </c>
      <c r="E248" t="s">
        <v>73</v>
      </c>
      <c r="F248" t="s">
        <v>73</v>
      </c>
      <c r="G248" t="s">
        <v>73</v>
      </c>
      <c r="H248" t="s">
        <v>73</v>
      </c>
    </row>
    <row r="249" spans="1:8" ht="25.5" customHeight="1">
      <c r="A249" s="15" t="s">
        <v>319</v>
      </c>
      <c r="B249" s="43"/>
    </row>
    <row r="250" spans="1:8" ht="25.5" customHeight="1">
      <c r="A250" s="15" t="s">
        <v>320</v>
      </c>
      <c r="B250" s="43"/>
    </row>
    <row r="251" spans="1:8" ht="25.5" customHeight="1">
      <c r="A251" s="15" t="s">
        <v>321</v>
      </c>
      <c r="B251" s="43"/>
      <c r="C251" t="s">
        <v>73</v>
      </c>
      <c r="D251" t="s">
        <v>73</v>
      </c>
      <c r="E251" t="s">
        <v>73</v>
      </c>
      <c r="F251" t="s">
        <v>73</v>
      </c>
      <c r="G251" t="s">
        <v>73</v>
      </c>
      <c r="H251" t="s">
        <v>73</v>
      </c>
    </row>
    <row r="252" spans="1:8" ht="25.5" customHeight="1">
      <c r="A252" s="15" t="s">
        <v>322</v>
      </c>
      <c r="B252" s="43"/>
    </row>
    <row r="253" spans="1:8" ht="25.5" customHeight="1">
      <c r="A253" s="15" t="s">
        <v>323</v>
      </c>
      <c r="B253" s="43"/>
    </row>
    <row r="254" spans="1:8" ht="25.5" customHeight="1">
      <c r="A254" s="15" t="s">
        <v>324</v>
      </c>
      <c r="B254" s="43"/>
    </row>
    <row r="255" spans="1:8" ht="25.5" customHeight="1">
      <c r="A255" s="15" t="s">
        <v>325</v>
      </c>
      <c r="B255" s="43"/>
    </row>
    <row r="256" spans="1:8" ht="25.5" customHeight="1">
      <c r="A256" s="15" t="s">
        <v>326</v>
      </c>
      <c r="B256" s="43"/>
    </row>
    <row r="257" spans="1:8" ht="25.5" customHeight="1">
      <c r="A257" s="15" t="s">
        <v>327</v>
      </c>
      <c r="B257" s="43"/>
    </row>
    <row r="258" spans="1:8" ht="25.5" customHeight="1">
      <c r="A258" s="15" t="s">
        <v>328</v>
      </c>
      <c r="B258" s="43"/>
    </row>
    <row r="259" spans="1:8" ht="25.5" customHeight="1">
      <c r="A259" s="15" t="s">
        <v>329</v>
      </c>
      <c r="B259" s="43"/>
    </row>
    <row r="260" spans="1:8" ht="25.5" customHeight="1">
      <c r="A260" s="15" t="s">
        <v>330</v>
      </c>
      <c r="B260" s="43"/>
    </row>
    <row r="261" spans="1:8" ht="25.5" customHeight="1">
      <c r="A261" s="15" t="s">
        <v>331</v>
      </c>
      <c r="B261" s="43"/>
    </row>
    <row r="262" spans="1:8" ht="25.5" customHeight="1">
      <c r="A262" s="15" t="s">
        <v>332</v>
      </c>
      <c r="B262" s="43"/>
      <c r="C262" t="s">
        <v>73</v>
      </c>
      <c r="D262" t="s">
        <v>73</v>
      </c>
      <c r="E262" t="s">
        <v>71</v>
      </c>
      <c r="F262" t="s">
        <v>73</v>
      </c>
      <c r="G262" t="s">
        <v>71</v>
      </c>
      <c r="H262" t="s">
        <v>71</v>
      </c>
    </row>
    <row r="263" spans="1:8" ht="25.5" customHeight="1">
      <c r="A263" s="15" t="s">
        <v>333</v>
      </c>
      <c r="B263" s="43"/>
    </row>
    <row r="264" spans="1:8" ht="25.5" customHeight="1">
      <c r="A264" s="15" t="s">
        <v>334</v>
      </c>
      <c r="B264" s="43"/>
    </row>
    <row r="265" spans="1:8" ht="25.5" customHeight="1">
      <c r="A265" s="15" t="s">
        <v>335</v>
      </c>
      <c r="B265" s="43"/>
    </row>
    <row r="266" spans="1:8" ht="25.5" customHeight="1">
      <c r="A266" s="15" t="s">
        <v>336</v>
      </c>
      <c r="B266" s="43"/>
    </row>
    <row r="267" spans="1:8" ht="25.5" customHeight="1">
      <c r="A267" s="15" t="s">
        <v>337</v>
      </c>
      <c r="B267" s="43"/>
    </row>
    <row r="268" spans="1:8" ht="25.5" customHeight="1">
      <c r="A268" s="15" t="s">
        <v>338</v>
      </c>
      <c r="B268" s="43"/>
    </row>
    <row r="269" spans="1:8" ht="25.5" customHeight="1">
      <c r="A269" s="15" t="s">
        <v>339</v>
      </c>
      <c r="B269" s="43"/>
    </row>
    <row r="270" spans="1:8" ht="25.5" customHeight="1">
      <c r="A270" s="15" t="s">
        <v>340</v>
      </c>
      <c r="B270" s="43"/>
    </row>
    <row r="271" spans="1:8" ht="25.5" customHeight="1">
      <c r="A271" s="15" t="s">
        <v>341</v>
      </c>
      <c r="B271" s="43"/>
    </row>
    <row r="272" spans="1:8" ht="25.5" customHeight="1">
      <c r="A272" s="15" t="s">
        <v>342</v>
      </c>
      <c r="B272" s="43"/>
    </row>
    <row r="273" spans="1:8" ht="25.5" customHeight="1">
      <c r="A273" s="15" t="s">
        <v>343</v>
      </c>
      <c r="B273" s="43"/>
    </row>
    <row r="274" spans="1:8" ht="25.5" customHeight="1">
      <c r="A274" s="15" t="s">
        <v>344</v>
      </c>
      <c r="B274" s="43"/>
    </row>
    <row r="275" spans="1:8" ht="25.5" customHeight="1">
      <c r="A275" s="15" t="s">
        <v>345</v>
      </c>
      <c r="B275" s="43"/>
      <c r="C275" t="s">
        <v>73</v>
      </c>
      <c r="D275" t="s">
        <v>73</v>
      </c>
      <c r="E275" t="s">
        <v>71</v>
      </c>
      <c r="F275" t="s">
        <v>73</v>
      </c>
      <c r="G275" t="s">
        <v>71</v>
      </c>
      <c r="H275" t="s">
        <v>71</v>
      </c>
    </row>
    <row r="276" spans="1:8" ht="25.5" customHeight="1">
      <c r="A276" s="15" t="s">
        <v>346</v>
      </c>
      <c r="B276" s="43"/>
      <c r="C276" t="s">
        <v>73</v>
      </c>
      <c r="D276" t="s">
        <v>73</v>
      </c>
      <c r="E276" t="s">
        <v>71</v>
      </c>
      <c r="F276" t="s">
        <v>73</v>
      </c>
      <c r="G276" t="s">
        <v>71</v>
      </c>
      <c r="H276" t="s">
        <v>71</v>
      </c>
    </row>
    <row r="277" spans="1:8" ht="25.5" customHeight="1">
      <c r="A277" s="15" t="s">
        <v>347</v>
      </c>
      <c r="B277" s="43"/>
      <c r="C277" t="s">
        <v>73</v>
      </c>
      <c r="D277" t="s">
        <v>73</v>
      </c>
      <c r="E277" t="s">
        <v>71</v>
      </c>
      <c r="F277" t="s">
        <v>73</v>
      </c>
      <c r="G277" t="s">
        <v>71</v>
      </c>
      <c r="H277" t="s">
        <v>71</v>
      </c>
    </row>
    <row r="278" spans="1:8" ht="25.5" customHeight="1">
      <c r="A278" s="15" t="s">
        <v>348</v>
      </c>
      <c r="B278" s="43"/>
      <c r="C278" t="s">
        <v>73</v>
      </c>
      <c r="D278" t="s">
        <v>73</v>
      </c>
      <c r="E278" t="s">
        <v>71</v>
      </c>
      <c r="F278" t="s">
        <v>73</v>
      </c>
      <c r="G278" t="s">
        <v>71</v>
      </c>
      <c r="H278" t="s">
        <v>71</v>
      </c>
    </row>
    <row r="279" spans="1:8" ht="25.5" customHeight="1">
      <c r="A279" s="15" t="s">
        <v>349</v>
      </c>
      <c r="B279" s="43"/>
      <c r="C279" t="s">
        <v>73</v>
      </c>
      <c r="D279" t="s">
        <v>73</v>
      </c>
      <c r="E279" t="s">
        <v>71</v>
      </c>
      <c r="F279" t="s">
        <v>73</v>
      </c>
      <c r="G279" t="s">
        <v>71</v>
      </c>
      <c r="H279" t="s">
        <v>71</v>
      </c>
    </row>
    <row r="280" spans="1:8" ht="25.5" customHeight="1">
      <c r="A280" s="15" t="s">
        <v>350</v>
      </c>
      <c r="B280" s="43"/>
    </row>
    <row r="281" spans="1:8" ht="25.5" customHeight="1">
      <c r="A281" s="15" t="s">
        <v>351</v>
      </c>
      <c r="B281" s="43"/>
    </row>
    <row r="282" spans="1:8" ht="25.5" customHeight="1">
      <c r="A282" s="15" t="s">
        <v>352</v>
      </c>
      <c r="C282" t="s">
        <v>73</v>
      </c>
      <c r="D282" t="s">
        <v>73</v>
      </c>
      <c r="E282" t="s">
        <v>73</v>
      </c>
      <c r="F282" t="s">
        <v>73</v>
      </c>
      <c r="G282" t="s">
        <v>71</v>
      </c>
      <c r="H282" t="s">
        <v>71</v>
      </c>
    </row>
    <row r="283" spans="1:8" ht="25.5" customHeight="1">
      <c r="A283" s="15" t="s">
        <v>353</v>
      </c>
    </row>
    <row r="284" spans="1:8" ht="25.5" customHeight="1">
      <c r="A284" s="15" t="s">
        <v>354</v>
      </c>
    </row>
    <row r="285" spans="1:8" ht="25.5" customHeight="1">
      <c r="A285" s="15" t="s">
        <v>355</v>
      </c>
    </row>
    <row r="286" spans="1:8" ht="25.5" customHeight="1">
      <c r="A286" s="15" t="s">
        <v>356</v>
      </c>
    </row>
    <row r="287" spans="1:8" ht="25.5" customHeight="1">
      <c r="A287" s="15" t="s">
        <v>357</v>
      </c>
    </row>
    <row r="288" spans="1:8" ht="25.5" customHeight="1">
      <c r="A288" s="15" t="s">
        <v>358</v>
      </c>
    </row>
    <row r="289" spans="1:1" ht="25.5" customHeight="1">
      <c r="A289" s="15" t="s">
        <v>359</v>
      </c>
    </row>
    <row r="290" spans="1:1" ht="25.5" customHeight="1">
      <c r="A290" s="15" t="s">
        <v>360</v>
      </c>
    </row>
    <row r="291" spans="1:1" ht="25.5" customHeight="1">
      <c r="A291" s="15" t="s">
        <v>361</v>
      </c>
    </row>
    <row r="292" spans="1:1" ht="25.5" customHeight="1">
      <c r="A292" s="15" t="s">
        <v>362</v>
      </c>
    </row>
    <row r="293" spans="1:1" ht="25.5" customHeight="1">
      <c r="A293" s="15" t="s">
        <v>363</v>
      </c>
    </row>
    <row r="294" spans="1:1" ht="25.5" customHeight="1">
      <c r="A294" s="15" t="s">
        <v>364</v>
      </c>
    </row>
    <row r="295" spans="1:1" ht="25.5" customHeight="1">
      <c r="A295" s="15" t="s">
        <v>365</v>
      </c>
    </row>
    <row r="296" spans="1:1" ht="25.5" customHeight="1">
      <c r="A296" s="15" t="s">
        <v>366</v>
      </c>
    </row>
    <row r="297" spans="1:1" ht="25.5" customHeight="1">
      <c r="A297" s="15" t="s">
        <v>367</v>
      </c>
    </row>
    <row r="298" spans="1:1" ht="25.5" customHeight="1">
      <c r="A298" s="15" t="s">
        <v>368</v>
      </c>
    </row>
    <row r="299" spans="1:1" ht="25.5" customHeight="1">
      <c r="A299" s="15" t="s">
        <v>369</v>
      </c>
    </row>
    <row r="300" spans="1:1" ht="25.5" customHeight="1">
      <c r="A300" s="15" t="s">
        <v>370</v>
      </c>
    </row>
    <row r="301" spans="1:1" ht="25.5" customHeight="1">
      <c r="A301" s="15" t="s">
        <v>371</v>
      </c>
    </row>
    <row r="302" spans="1:1" ht="25.5" customHeight="1">
      <c r="A302" s="15" t="s">
        <v>372</v>
      </c>
    </row>
    <row r="303" spans="1:1" ht="25.5" customHeight="1">
      <c r="A303" s="15" t="s">
        <v>373</v>
      </c>
    </row>
    <row r="304" spans="1:1" ht="25.5" customHeight="1">
      <c r="A304" s="15" t="s">
        <v>374</v>
      </c>
    </row>
    <row r="305" spans="1:8" ht="25.5" customHeight="1">
      <c r="A305" s="15" t="s">
        <v>375</v>
      </c>
    </row>
    <row r="306" spans="1:8" ht="25.5" customHeight="1">
      <c r="A306" s="15" t="s">
        <v>376</v>
      </c>
    </row>
    <row r="307" spans="1:8" ht="25.5" customHeight="1">
      <c r="A307" s="15" t="s">
        <v>377</v>
      </c>
    </row>
    <row r="308" spans="1:8" ht="25.5" customHeight="1">
      <c r="A308" s="15" t="s">
        <v>378</v>
      </c>
    </row>
    <row r="309" spans="1:8" ht="25.5" customHeight="1">
      <c r="A309" s="15" t="s">
        <v>379</v>
      </c>
    </row>
    <row r="310" spans="1:8" ht="25.5" customHeight="1">
      <c r="A310" s="15" t="s">
        <v>380</v>
      </c>
    </row>
    <row r="311" spans="1:8" ht="25.5" customHeight="1">
      <c r="A311" s="15" t="s">
        <v>381</v>
      </c>
    </row>
    <row r="312" spans="1:8" ht="25.5" customHeight="1">
      <c r="A312" s="15" t="s">
        <v>382</v>
      </c>
    </row>
    <row r="313" spans="1:8" ht="25.5" customHeight="1">
      <c r="A313" s="15" t="s">
        <v>383</v>
      </c>
    </row>
    <row r="314" spans="1:8" ht="25.5" customHeight="1">
      <c r="A314" s="15" t="s">
        <v>384</v>
      </c>
    </row>
    <row r="315" spans="1:8" ht="25.5" customHeight="1">
      <c r="A315" s="15" t="s">
        <v>385</v>
      </c>
      <c r="C315" t="s">
        <v>73</v>
      </c>
      <c r="D315" t="s">
        <v>73</v>
      </c>
      <c r="E315" t="s">
        <v>73</v>
      </c>
      <c r="F315" t="s">
        <v>73</v>
      </c>
      <c r="G315" t="s">
        <v>71</v>
      </c>
      <c r="H315" t="s">
        <v>71</v>
      </c>
    </row>
    <row r="316" spans="1:8" ht="25.5" customHeight="1">
      <c r="A316" s="15" t="s">
        <v>386</v>
      </c>
      <c r="C316" t="s">
        <v>73</v>
      </c>
      <c r="D316" t="s">
        <v>73</v>
      </c>
      <c r="E316" t="s">
        <v>73</v>
      </c>
      <c r="F316" t="s">
        <v>73</v>
      </c>
      <c r="G316" t="s">
        <v>71</v>
      </c>
      <c r="H316" t="s">
        <v>71</v>
      </c>
    </row>
    <row r="317" spans="1:8" ht="25.5" customHeight="1">
      <c r="A317" s="15" t="s">
        <v>387</v>
      </c>
    </row>
    <row r="318" spans="1:8" ht="25.5" customHeight="1">
      <c r="A318" s="15" t="s">
        <v>388</v>
      </c>
    </row>
    <row r="319" spans="1:8" ht="25.5" customHeight="1">
      <c r="A319" s="15" t="s">
        <v>389</v>
      </c>
    </row>
    <row r="320" spans="1:8" ht="25.5" customHeight="1">
      <c r="A320" s="15" t="s">
        <v>390</v>
      </c>
    </row>
    <row r="321" spans="1:8" ht="25.5" customHeight="1">
      <c r="A321" s="15" t="s">
        <v>391</v>
      </c>
      <c r="C321" t="s">
        <v>73</v>
      </c>
      <c r="D321" t="s">
        <v>73</v>
      </c>
      <c r="E321" t="s">
        <v>73</v>
      </c>
      <c r="F321" t="s">
        <v>73</v>
      </c>
      <c r="G321" t="s">
        <v>71</v>
      </c>
      <c r="H321" t="s">
        <v>71</v>
      </c>
    </row>
    <row r="322" spans="1:8" ht="25.5" customHeight="1">
      <c r="A322" s="15" t="s">
        <v>392</v>
      </c>
      <c r="C322" t="s">
        <v>73</v>
      </c>
      <c r="D322" t="s">
        <v>73</v>
      </c>
      <c r="E322" t="s">
        <v>73</v>
      </c>
      <c r="F322" t="s">
        <v>73</v>
      </c>
      <c r="G322" t="s">
        <v>71</v>
      </c>
      <c r="H322" t="s">
        <v>71</v>
      </c>
    </row>
    <row r="323" spans="1:8" ht="25.5" customHeight="1">
      <c r="A323" s="15" t="s">
        <v>393</v>
      </c>
    </row>
    <row r="324" spans="1:8" ht="25.5" customHeight="1">
      <c r="A324" s="15" t="s">
        <v>394</v>
      </c>
    </row>
    <row r="325" spans="1:8" ht="25.5" customHeight="1">
      <c r="A325" s="15" t="s">
        <v>395</v>
      </c>
    </row>
    <row r="326" spans="1:8" ht="25.5" customHeight="1">
      <c r="A326" s="15" t="s">
        <v>396</v>
      </c>
    </row>
    <row r="327" spans="1:8" ht="25.5" customHeight="1">
      <c r="A327" s="15" t="s">
        <v>397</v>
      </c>
    </row>
    <row r="328" spans="1:8" ht="25.5" customHeight="1">
      <c r="A328" s="15" t="s">
        <v>398</v>
      </c>
    </row>
    <row r="329" spans="1:8" ht="25.5" customHeight="1">
      <c r="A329" s="15" t="s">
        <v>399</v>
      </c>
      <c r="C329" t="s">
        <v>73</v>
      </c>
      <c r="D329" t="s">
        <v>73</v>
      </c>
      <c r="E329" t="s">
        <v>73</v>
      </c>
      <c r="F329" t="s">
        <v>73</v>
      </c>
      <c r="G329" t="s">
        <v>73</v>
      </c>
      <c r="H329" t="s">
        <v>73</v>
      </c>
    </row>
    <row r="330" spans="1:8" ht="25.5" customHeight="1">
      <c r="A330" s="15" t="s">
        <v>400</v>
      </c>
    </row>
    <row r="331" spans="1:8" ht="25.5" customHeight="1">
      <c r="A331" s="15" t="s">
        <v>401</v>
      </c>
      <c r="C331" t="s">
        <v>73</v>
      </c>
      <c r="D331" t="s">
        <v>73</v>
      </c>
      <c r="E331" t="s">
        <v>71</v>
      </c>
      <c r="F331" t="s">
        <v>73</v>
      </c>
      <c r="G331" t="s">
        <v>71</v>
      </c>
      <c r="H331" t="s">
        <v>71</v>
      </c>
    </row>
    <row r="332" spans="1:8" ht="25.5" customHeight="1">
      <c r="A332" s="15" t="s">
        <v>402</v>
      </c>
    </row>
    <row r="333" spans="1:8" ht="25.5" customHeight="1">
      <c r="A333" s="15" t="s">
        <v>403</v>
      </c>
    </row>
    <row r="334" spans="1:8" ht="25.5" customHeight="1">
      <c r="A334" s="15" t="s">
        <v>404</v>
      </c>
    </row>
    <row r="335" spans="1:8" ht="25.5" customHeight="1">
      <c r="A335" s="15" t="s">
        <v>405</v>
      </c>
    </row>
    <row r="336" spans="1:8" ht="25.5" customHeight="1">
      <c r="A336" s="15" t="s">
        <v>406</v>
      </c>
    </row>
    <row r="337" spans="1:8" ht="25.5" customHeight="1">
      <c r="A337" s="15" t="s">
        <v>407</v>
      </c>
    </row>
    <row r="338" spans="1:8" ht="25.5" customHeight="1">
      <c r="A338" s="15" t="s">
        <v>408</v>
      </c>
    </row>
    <row r="339" spans="1:8" ht="25.5" customHeight="1">
      <c r="A339" s="15" t="s">
        <v>409</v>
      </c>
      <c r="C339" t="s">
        <v>73</v>
      </c>
      <c r="D339" t="s">
        <v>73</v>
      </c>
      <c r="E339" t="s">
        <v>71</v>
      </c>
      <c r="F339" t="s">
        <v>73</v>
      </c>
      <c r="G339" t="s">
        <v>71</v>
      </c>
      <c r="H339" t="s">
        <v>71</v>
      </c>
    </row>
    <row r="340" spans="1:8" ht="25.5" customHeight="1">
      <c r="A340" s="15" t="s">
        <v>410</v>
      </c>
      <c r="C340" t="s">
        <v>73</v>
      </c>
      <c r="D340" t="s">
        <v>73</v>
      </c>
      <c r="E340" t="s">
        <v>71</v>
      </c>
      <c r="F340" t="s">
        <v>73</v>
      </c>
      <c r="G340" t="s">
        <v>71</v>
      </c>
      <c r="H340" t="s">
        <v>71</v>
      </c>
    </row>
    <row r="341" spans="1:8" ht="25.5" customHeight="1">
      <c r="A341" s="15" t="s">
        <v>411</v>
      </c>
    </row>
    <row r="342" spans="1:8" ht="25.5" customHeight="1">
      <c r="A342" s="15" t="s">
        <v>412</v>
      </c>
    </row>
    <row r="343" spans="1:8" ht="25.5" customHeight="1">
      <c r="A343" s="15" t="s">
        <v>413</v>
      </c>
    </row>
    <row r="344" spans="1:8" ht="25.5" customHeight="1">
      <c r="A344" s="15" t="s">
        <v>414</v>
      </c>
    </row>
    <row r="345" spans="1:8" ht="25.5" customHeight="1">
      <c r="A345" s="15" t="s">
        <v>415</v>
      </c>
      <c r="C345" t="s">
        <v>73</v>
      </c>
      <c r="D345" t="s">
        <v>73</v>
      </c>
      <c r="E345" t="s">
        <v>71</v>
      </c>
      <c r="F345" t="s">
        <v>73</v>
      </c>
      <c r="G345" t="s">
        <v>71</v>
      </c>
      <c r="H345" t="s">
        <v>71</v>
      </c>
    </row>
    <row r="346" spans="1:8" ht="25.5" customHeight="1">
      <c r="A346" s="15" t="s">
        <v>416</v>
      </c>
    </row>
    <row r="347" spans="1:8" ht="25.5" customHeight="1">
      <c r="A347" s="15" t="s">
        <v>417</v>
      </c>
    </row>
    <row r="348" spans="1:8" ht="25.5" customHeight="1">
      <c r="A348" s="15" t="s">
        <v>418</v>
      </c>
    </row>
    <row r="349" spans="1:8" ht="25.5" customHeight="1">
      <c r="A349" s="15" t="s">
        <v>419</v>
      </c>
    </row>
    <row r="350" spans="1:8" ht="25.5" customHeight="1">
      <c r="A350" s="15" t="s">
        <v>420</v>
      </c>
    </row>
    <row r="351" spans="1:8" ht="25.5" customHeight="1">
      <c r="A351" s="15" t="s">
        <v>421</v>
      </c>
    </row>
    <row r="352" spans="1:8" ht="25.5" customHeight="1">
      <c r="A352" s="15" t="s">
        <v>422</v>
      </c>
    </row>
    <row r="353" spans="1:8" ht="25.5" customHeight="1">
      <c r="A353" s="15" t="s">
        <v>423</v>
      </c>
    </row>
    <row r="354" spans="1:8" ht="25.5" customHeight="1">
      <c r="A354" s="15" t="s">
        <v>424</v>
      </c>
    </row>
    <row r="355" spans="1:8" ht="25.5" customHeight="1">
      <c r="A355" s="15" t="s">
        <v>425</v>
      </c>
    </row>
    <row r="356" spans="1:8" ht="25.5" customHeight="1">
      <c r="A356" s="15" t="s">
        <v>426</v>
      </c>
    </row>
    <row r="357" spans="1:8" ht="25.5" customHeight="1">
      <c r="A357" s="15" t="s">
        <v>427</v>
      </c>
    </row>
    <row r="358" spans="1:8" ht="25.5" customHeight="1">
      <c r="A358" s="15" t="s">
        <v>428</v>
      </c>
    </row>
    <row r="359" spans="1:8" ht="25.5" customHeight="1">
      <c r="A359" s="15" t="s">
        <v>429</v>
      </c>
    </row>
    <row r="360" spans="1:8" ht="25.5" customHeight="1">
      <c r="A360" s="15" t="s">
        <v>430</v>
      </c>
    </row>
    <row r="361" spans="1:8" ht="25.5" customHeight="1">
      <c r="A361" s="15" t="s">
        <v>431</v>
      </c>
    </row>
    <row r="362" spans="1:8" ht="25.5" customHeight="1">
      <c r="A362" s="15" t="s">
        <v>432</v>
      </c>
      <c r="C362" t="s">
        <v>73</v>
      </c>
      <c r="D362" t="s">
        <v>73</v>
      </c>
      <c r="E362" t="s">
        <v>73</v>
      </c>
      <c r="F362" t="s">
        <v>73</v>
      </c>
      <c r="G362" t="s">
        <v>71</v>
      </c>
      <c r="H362" t="s">
        <v>71</v>
      </c>
    </row>
    <row r="363" spans="1:8" ht="25.5" customHeight="1">
      <c r="A363" s="15" t="s">
        <v>433</v>
      </c>
    </row>
    <row r="364" spans="1:8" ht="25.5" customHeight="1">
      <c r="A364" s="15" t="s">
        <v>434</v>
      </c>
    </row>
    <row r="365" spans="1:8" ht="25.5" customHeight="1">
      <c r="A365" s="15" t="s">
        <v>435</v>
      </c>
      <c r="C365" t="s">
        <v>73</v>
      </c>
      <c r="D365" t="s">
        <v>73</v>
      </c>
      <c r="E365" t="s">
        <v>71</v>
      </c>
      <c r="F365" t="s">
        <v>73</v>
      </c>
      <c r="G365" t="s">
        <v>71</v>
      </c>
      <c r="H365" t="s">
        <v>71</v>
      </c>
    </row>
    <row r="366" spans="1:8" ht="25.5" customHeight="1">
      <c r="A366" s="15" t="s">
        <v>436</v>
      </c>
    </row>
    <row r="367" spans="1:8" ht="25.5" customHeight="1">
      <c r="A367" s="15" t="s">
        <v>437</v>
      </c>
    </row>
    <row r="368" spans="1:8" ht="25.5" customHeight="1">
      <c r="A368" s="15" t="s">
        <v>438</v>
      </c>
    </row>
    <row r="369" spans="1:8" ht="25.5" customHeight="1">
      <c r="A369" s="15" t="s">
        <v>439</v>
      </c>
      <c r="C369" t="s">
        <v>73</v>
      </c>
      <c r="D369" t="s">
        <v>73</v>
      </c>
      <c r="E369" t="s">
        <v>73</v>
      </c>
      <c r="F369" t="s">
        <v>73</v>
      </c>
      <c r="G369" t="s">
        <v>73</v>
      </c>
      <c r="H369" t="s">
        <v>73</v>
      </c>
    </row>
    <row r="370" spans="1:8" ht="25.5" customHeight="1">
      <c r="A370" s="15" t="s">
        <v>440</v>
      </c>
    </row>
    <row r="371" spans="1:8" ht="25.5" customHeight="1">
      <c r="A371" s="15" t="s">
        <v>441</v>
      </c>
    </row>
    <row r="372" spans="1:8" ht="25.5" customHeight="1">
      <c r="A372" s="15" t="s">
        <v>442</v>
      </c>
    </row>
    <row r="373" spans="1:8" ht="25.5" customHeight="1">
      <c r="A373" s="15" t="s">
        <v>443</v>
      </c>
    </row>
    <row r="374" spans="1:8" ht="25.5" customHeight="1">
      <c r="A374" s="15" t="s">
        <v>444</v>
      </c>
    </row>
    <row r="375" spans="1:8" ht="25.5" customHeight="1">
      <c r="A375" s="15" t="s">
        <v>445</v>
      </c>
    </row>
    <row r="376" spans="1:8" ht="25.5" customHeight="1">
      <c r="A376" s="15" t="s">
        <v>446</v>
      </c>
    </row>
    <row r="377" spans="1:8" ht="25.5" customHeight="1">
      <c r="A377" s="15" t="s">
        <v>447</v>
      </c>
    </row>
    <row r="378" spans="1:8" ht="25.5" customHeight="1">
      <c r="A378" s="15" t="s">
        <v>448</v>
      </c>
    </row>
    <row r="379" spans="1:8" ht="25.5" customHeight="1">
      <c r="A379" s="15" t="s">
        <v>449</v>
      </c>
    </row>
    <row r="380" spans="1:8" ht="25.5" customHeight="1">
      <c r="A380" s="15" t="s">
        <v>450</v>
      </c>
      <c r="C380" t="s">
        <v>73</v>
      </c>
      <c r="D380" t="s">
        <v>73</v>
      </c>
      <c r="E380" t="s">
        <v>73</v>
      </c>
      <c r="F380" t="s">
        <v>73</v>
      </c>
      <c r="G380" t="s">
        <v>71</v>
      </c>
      <c r="H380" t="s">
        <v>71</v>
      </c>
    </row>
    <row r="381" spans="1:8" ht="25.5" customHeight="1">
      <c r="A381" s="15" t="s">
        <v>451</v>
      </c>
    </row>
    <row r="382" spans="1:8" ht="25.5" customHeight="1">
      <c r="A382" s="15" t="s">
        <v>452</v>
      </c>
    </row>
    <row r="383" spans="1:8" ht="25.5" customHeight="1">
      <c r="A383" s="15" t="s">
        <v>453</v>
      </c>
    </row>
    <row r="384" spans="1:8" ht="25.5" customHeight="1">
      <c r="A384" s="15" t="s">
        <v>454</v>
      </c>
    </row>
    <row r="385" spans="1:1" ht="25.5" customHeight="1">
      <c r="A385" s="15" t="s">
        <v>455</v>
      </c>
    </row>
    <row r="386" spans="1:1" ht="25.5" customHeight="1">
      <c r="A386" s="15" t="s">
        <v>456</v>
      </c>
    </row>
    <row r="387" spans="1:1" ht="25.5" customHeight="1">
      <c r="A387" s="15" t="s">
        <v>457</v>
      </c>
    </row>
    <row r="388" spans="1:1" ht="25.5" customHeight="1">
      <c r="A388" s="15" t="s">
        <v>458</v>
      </c>
    </row>
    <row r="389" spans="1:1" ht="25.5" customHeight="1">
      <c r="A389" s="15" t="s">
        <v>459</v>
      </c>
    </row>
    <row r="390" spans="1:1" ht="25.5" customHeight="1">
      <c r="A390" s="15" t="s">
        <v>460</v>
      </c>
    </row>
    <row r="391" spans="1:1" ht="25.5" customHeight="1">
      <c r="A391" s="15" t="s">
        <v>461</v>
      </c>
    </row>
    <row r="392" spans="1:1" ht="25.5" customHeight="1">
      <c r="A392" s="15" t="s">
        <v>462</v>
      </c>
    </row>
    <row r="393" spans="1:1" ht="25.5" customHeight="1">
      <c r="A393" s="15" t="s">
        <v>463</v>
      </c>
    </row>
    <row r="394" spans="1:1" ht="25.5" customHeight="1">
      <c r="A394" s="15" t="s">
        <v>464</v>
      </c>
    </row>
    <row r="395" spans="1:1" ht="25.5" customHeight="1">
      <c r="A395" s="15" t="s">
        <v>465</v>
      </c>
    </row>
    <row r="396" spans="1:1" ht="25.5" customHeight="1">
      <c r="A396" s="15" t="s">
        <v>466</v>
      </c>
    </row>
    <row r="397" spans="1:1" ht="25.5" customHeight="1">
      <c r="A397" s="15" t="s">
        <v>467</v>
      </c>
    </row>
    <row r="398" spans="1:1" ht="25.5" customHeight="1">
      <c r="A398" s="15" t="s">
        <v>468</v>
      </c>
    </row>
    <row r="399" spans="1:1" ht="25.5" customHeight="1">
      <c r="A399" s="15" t="s">
        <v>469</v>
      </c>
    </row>
    <row r="400" spans="1:1" ht="25.5" customHeight="1">
      <c r="A400" s="15" t="s">
        <v>470</v>
      </c>
    </row>
    <row r="401" spans="1:8" ht="25.5" customHeight="1">
      <c r="A401" s="15" t="s">
        <v>471</v>
      </c>
    </row>
    <row r="402" spans="1:8" ht="25.5" customHeight="1">
      <c r="A402" s="15" t="s">
        <v>472</v>
      </c>
    </row>
    <row r="403" spans="1:8" ht="25.5" customHeight="1">
      <c r="A403" s="15" t="s">
        <v>473</v>
      </c>
    </row>
    <row r="404" spans="1:8" ht="25.5" customHeight="1">
      <c r="A404" s="15" t="s">
        <v>474</v>
      </c>
    </row>
    <row r="405" spans="1:8" ht="25.5" customHeight="1">
      <c r="A405" s="15" t="s">
        <v>475</v>
      </c>
    </row>
    <row r="406" spans="1:8" ht="25.5" customHeight="1">
      <c r="A406" s="15" t="s">
        <v>476</v>
      </c>
    </row>
    <row r="407" spans="1:8" ht="25.5" customHeight="1">
      <c r="A407" s="15" t="s">
        <v>477</v>
      </c>
    </row>
    <row r="408" spans="1:8" ht="25.5" customHeight="1">
      <c r="A408" s="15" t="s">
        <v>478</v>
      </c>
    </row>
    <row r="409" spans="1:8" ht="25.5" customHeight="1">
      <c r="A409" s="15" t="s">
        <v>479</v>
      </c>
    </row>
    <row r="410" spans="1:8" ht="25.5" customHeight="1">
      <c r="A410" s="15" t="s">
        <v>480</v>
      </c>
    </row>
    <row r="411" spans="1:8" ht="25.5" customHeight="1">
      <c r="A411" s="15" t="s">
        <v>481</v>
      </c>
      <c r="C411" t="s">
        <v>73</v>
      </c>
      <c r="D411" t="s">
        <v>73</v>
      </c>
      <c r="E411" t="s">
        <v>71</v>
      </c>
      <c r="F411" t="s">
        <v>73</v>
      </c>
      <c r="G411" t="s">
        <v>71</v>
      </c>
      <c r="H411" t="s">
        <v>71</v>
      </c>
    </row>
    <row r="412" spans="1:8" ht="25.5" customHeight="1">
      <c r="A412" s="15" t="s">
        <v>482</v>
      </c>
    </row>
    <row r="413" spans="1:8" ht="25.5" customHeight="1">
      <c r="A413" s="15" t="s">
        <v>483</v>
      </c>
    </row>
    <row r="414" spans="1:8" ht="25.5" customHeight="1">
      <c r="A414" s="15" t="s">
        <v>484</v>
      </c>
    </row>
    <row r="415" spans="1:8" ht="25.5" customHeight="1">
      <c r="A415" s="15" t="s">
        <v>485</v>
      </c>
    </row>
    <row r="416" spans="1:8" ht="25.5" customHeight="1">
      <c r="A416" s="15" t="s">
        <v>486</v>
      </c>
    </row>
    <row r="417" spans="1:8" ht="25.5" customHeight="1">
      <c r="A417" s="15" t="s">
        <v>487</v>
      </c>
    </row>
    <row r="418" spans="1:8" ht="25.5" customHeight="1">
      <c r="A418" s="15" t="s">
        <v>488</v>
      </c>
    </row>
    <row r="419" spans="1:8" ht="25.5" customHeight="1">
      <c r="A419" s="15" t="s">
        <v>489</v>
      </c>
    </row>
    <row r="420" spans="1:8" ht="25.5" customHeight="1">
      <c r="A420" s="15" t="s">
        <v>490</v>
      </c>
    </row>
    <row r="421" spans="1:8" ht="25.5" customHeight="1">
      <c r="A421" s="15" t="s">
        <v>491</v>
      </c>
      <c r="C421" t="s">
        <v>73</v>
      </c>
      <c r="D421" t="s">
        <v>73</v>
      </c>
      <c r="E421" t="s">
        <v>71</v>
      </c>
      <c r="F421" t="s">
        <v>73</v>
      </c>
      <c r="G421" t="s">
        <v>71</v>
      </c>
      <c r="H421" t="s">
        <v>71</v>
      </c>
    </row>
    <row r="422" spans="1:8" ht="25.5" customHeight="1">
      <c r="A422" s="15" t="s">
        <v>492</v>
      </c>
    </row>
    <row r="423" spans="1:8" ht="25.5" customHeight="1">
      <c r="A423" s="15" t="s">
        <v>493</v>
      </c>
    </row>
    <row r="424" spans="1:8" ht="25.5" customHeight="1">
      <c r="A424" s="15" t="s">
        <v>494</v>
      </c>
    </row>
    <row r="425" spans="1:8" ht="25.5" customHeight="1">
      <c r="A425" s="15" t="s">
        <v>495</v>
      </c>
    </row>
    <row r="426" spans="1:8" ht="25.5" customHeight="1">
      <c r="A426" s="15" t="s">
        <v>496</v>
      </c>
    </row>
    <row r="427" spans="1:8" ht="25.5" customHeight="1">
      <c r="A427" s="15" t="s">
        <v>497</v>
      </c>
    </row>
    <row r="428" spans="1:8" ht="25.5" customHeight="1">
      <c r="A428" s="15" t="s">
        <v>498</v>
      </c>
      <c r="C428" t="s">
        <v>73</v>
      </c>
      <c r="D428" t="s">
        <v>73</v>
      </c>
      <c r="E428" t="s">
        <v>71</v>
      </c>
      <c r="F428" t="s">
        <v>73</v>
      </c>
      <c r="G428" t="s">
        <v>71</v>
      </c>
      <c r="H428" t="s">
        <v>71</v>
      </c>
    </row>
    <row r="429" spans="1:8" ht="25.5" customHeight="1">
      <c r="A429" s="15" t="s">
        <v>499</v>
      </c>
    </row>
    <row r="430" spans="1:8" ht="25.5" customHeight="1">
      <c r="A430" s="15" t="s">
        <v>500</v>
      </c>
    </row>
    <row r="431" spans="1:8" ht="25.5" customHeight="1">
      <c r="A431" s="15" t="s">
        <v>501</v>
      </c>
    </row>
    <row r="432" spans="1:8" ht="25.5" customHeight="1">
      <c r="A432" s="15" t="s">
        <v>502</v>
      </c>
    </row>
    <row r="433" spans="1:8" ht="25.5" customHeight="1">
      <c r="A433" s="15" t="s">
        <v>503</v>
      </c>
    </row>
    <row r="434" spans="1:8" ht="25.5" customHeight="1">
      <c r="A434" s="15" t="s">
        <v>504</v>
      </c>
    </row>
    <row r="435" spans="1:8" ht="25.5" customHeight="1">
      <c r="A435" s="15" t="s">
        <v>505</v>
      </c>
    </row>
    <row r="436" spans="1:8" ht="25.5" customHeight="1">
      <c r="A436" s="15" t="s">
        <v>506</v>
      </c>
    </row>
    <row r="437" spans="1:8" ht="25.5" customHeight="1">
      <c r="A437" s="15" t="s">
        <v>507</v>
      </c>
    </row>
    <row r="438" spans="1:8" ht="25.5" customHeight="1">
      <c r="A438" s="15" t="s">
        <v>508</v>
      </c>
    </row>
    <row r="439" spans="1:8" ht="25.5" customHeight="1">
      <c r="A439" s="15" t="s">
        <v>509</v>
      </c>
      <c r="C439" t="s">
        <v>73</v>
      </c>
      <c r="D439" t="s">
        <v>73</v>
      </c>
      <c r="E439" t="s">
        <v>73</v>
      </c>
      <c r="F439" t="s">
        <v>73</v>
      </c>
      <c r="G439" t="s">
        <v>71</v>
      </c>
      <c r="H439" t="s">
        <v>71</v>
      </c>
    </row>
    <row r="440" spans="1:8" ht="25.5" customHeight="1">
      <c r="A440" s="15" t="s">
        <v>510</v>
      </c>
      <c r="C440" t="s">
        <v>73</v>
      </c>
      <c r="D440" t="s">
        <v>73</v>
      </c>
      <c r="E440" t="s">
        <v>71</v>
      </c>
      <c r="F440" t="s">
        <v>73</v>
      </c>
      <c r="G440" t="s">
        <v>71</v>
      </c>
      <c r="H440" t="s">
        <v>71</v>
      </c>
    </row>
    <row r="441" spans="1:8" ht="25.5" customHeight="1">
      <c r="A441" s="15" t="s">
        <v>511</v>
      </c>
    </row>
    <row r="442" spans="1:8" ht="25.5" customHeight="1">
      <c r="A442" s="15" t="s">
        <v>512</v>
      </c>
    </row>
    <row r="443" spans="1:8" ht="25.5" customHeight="1">
      <c r="A443" s="15" t="s">
        <v>513</v>
      </c>
    </row>
    <row r="444" spans="1:8" ht="25.5" customHeight="1">
      <c r="A444" s="15" t="s">
        <v>514</v>
      </c>
    </row>
    <row r="445" spans="1:8" ht="25.5" customHeight="1">
      <c r="A445" s="15" t="s">
        <v>515</v>
      </c>
    </row>
    <row r="446" spans="1:8" ht="25.5" customHeight="1">
      <c r="A446" s="15" t="s">
        <v>516</v>
      </c>
      <c r="C446" t="s">
        <v>73</v>
      </c>
      <c r="D446" t="s">
        <v>73</v>
      </c>
      <c r="E446" t="s">
        <v>71</v>
      </c>
      <c r="F446" t="s">
        <v>73</v>
      </c>
      <c r="G446" t="s">
        <v>71</v>
      </c>
      <c r="H446" t="s">
        <v>71</v>
      </c>
    </row>
    <row r="447" spans="1:8" ht="25.5" customHeight="1">
      <c r="A447" s="15" t="s">
        <v>517</v>
      </c>
    </row>
    <row r="448" spans="1:8" ht="25.5" customHeight="1">
      <c r="A448" s="15" t="s">
        <v>518</v>
      </c>
      <c r="C448" t="s">
        <v>73</v>
      </c>
      <c r="D448" t="s">
        <v>73</v>
      </c>
      <c r="E448" t="s">
        <v>71</v>
      </c>
      <c r="F448" t="s">
        <v>73</v>
      </c>
      <c r="G448" t="s">
        <v>71</v>
      </c>
      <c r="H448" t="s">
        <v>71</v>
      </c>
    </row>
    <row r="449" spans="1:8" ht="25.5" customHeight="1">
      <c r="A449" s="15" t="s">
        <v>519</v>
      </c>
      <c r="C449" t="s">
        <v>73</v>
      </c>
      <c r="D449" t="s">
        <v>73</v>
      </c>
      <c r="E449" t="s">
        <v>71</v>
      </c>
      <c r="F449" t="s">
        <v>73</v>
      </c>
      <c r="G449" t="s">
        <v>71</v>
      </c>
      <c r="H449" t="s">
        <v>71</v>
      </c>
    </row>
    <row r="450" spans="1:8" ht="25.5" customHeight="1">
      <c r="A450" s="15" t="s">
        <v>520</v>
      </c>
    </row>
    <row r="451" spans="1:8" ht="25.5" customHeight="1">
      <c r="A451" s="15" t="s">
        <v>521</v>
      </c>
    </row>
    <row r="452" spans="1:8" ht="25.5" customHeight="1">
      <c r="A452" s="15" t="s">
        <v>522</v>
      </c>
    </row>
    <row r="453" spans="1:8" ht="25.5" customHeight="1">
      <c r="A453" s="15" t="s">
        <v>523</v>
      </c>
    </row>
    <row r="454" spans="1:8" ht="25.5" customHeight="1">
      <c r="A454" s="15" t="s">
        <v>524</v>
      </c>
    </row>
    <row r="455" spans="1:8" ht="25.5" customHeight="1">
      <c r="A455" s="15" t="s">
        <v>525</v>
      </c>
    </row>
    <row r="456" spans="1:8" ht="25.5" customHeight="1">
      <c r="A456" s="15" t="s">
        <v>526</v>
      </c>
    </row>
    <row r="457" spans="1:8" ht="25.5" customHeight="1">
      <c r="A457" s="15" t="s">
        <v>527</v>
      </c>
    </row>
    <row r="458" spans="1:8" ht="25.5" customHeight="1">
      <c r="A458" s="15" t="s">
        <v>528</v>
      </c>
    </row>
    <row r="459" spans="1:8" ht="25.5" customHeight="1">
      <c r="A459" s="15" t="s">
        <v>529</v>
      </c>
    </row>
    <row r="460" spans="1:8" ht="25.5" customHeight="1">
      <c r="A460" s="15" t="s">
        <v>530</v>
      </c>
    </row>
    <row r="461" spans="1:8" ht="25.5" customHeight="1">
      <c r="A461" s="15" t="s">
        <v>531</v>
      </c>
    </row>
    <row r="462" spans="1:8" ht="25.5" customHeight="1">
      <c r="A462" s="15" t="s">
        <v>532</v>
      </c>
    </row>
    <row r="463" spans="1:8" ht="25.5" customHeight="1">
      <c r="A463" s="15" t="s">
        <v>533</v>
      </c>
    </row>
    <row r="464" spans="1:8" ht="25.5" customHeight="1">
      <c r="A464" s="15" t="s">
        <v>534</v>
      </c>
    </row>
    <row r="465" spans="1:1" ht="25.5" customHeight="1">
      <c r="A465" s="15" t="s">
        <v>535</v>
      </c>
    </row>
    <row r="466" spans="1:1" ht="25.5" customHeight="1">
      <c r="A466" s="15" t="s">
        <v>536</v>
      </c>
    </row>
    <row r="467" spans="1:1" ht="25.5" customHeight="1">
      <c r="A467" s="15" t="s">
        <v>537</v>
      </c>
    </row>
    <row r="468" spans="1:1" ht="25.5" customHeight="1">
      <c r="A468" s="15" t="s">
        <v>538</v>
      </c>
    </row>
    <row r="469" spans="1:1" ht="25.5" customHeight="1">
      <c r="A469" s="15" t="s">
        <v>539</v>
      </c>
    </row>
    <row r="470" spans="1:1" ht="25.5" customHeight="1">
      <c r="A470" s="15" t="s">
        <v>540</v>
      </c>
    </row>
    <row r="471" spans="1:1" ht="25.5" customHeight="1">
      <c r="A471" s="15" t="s">
        <v>541</v>
      </c>
    </row>
    <row r="472" spans="1:1" ht="25.5" customHeight="1">
      <c r="A472" s="15" t="s">
        <v>542</v>
      </c>
    </row>
    <row r="473" spans="1:1" ht="25.5" customHeight="1">
      <c r="A473" s="15" t="s">
        <v>543</v>
      </c>
    </row>
    <row r="474" spans="1:1" ht="25.5" customHeight="1">
      <c r="A474" s="15" t="s">
        <v>544</v>
      </c>
    </row>
    <row r="475" spans="1:1" ht="25.5" customHeight="1">
      <c r="A475" s="15" t="s">
        <v>545</v>
      </c>
    </row>
    <row r="476" spans="1:1" ht="25.5" customHeight="1">
      <c r="A476" s="15" t="s">
        <v>546</v>
      </c>
    </row>
    <row r="477" spans="1:1" ht="25.5" customHeight="1">
      <c r="A477" s="15" t="s">
        <v>547</v>
      </c>
    </row>
    <row r="478" spans="1:1" ht="25.5" customHeight="1">
      <c r="A478" s="15" t="s">
        <v>548</v>
      </c>
    </row>
    <row r="479" spans="1:1" ht="25.5" customHeight="1">
      <c r="A479" s="15" t="s">
        <v>549</v>
      </c>
    </row>
    <row r="480" spans="1:1" ht="25.5" customHeight="1">
      <c r="A480" s="15" t="s">
        <v>550</v>
      </c>
    </row>
    <row r="481" spans="1:1" ht="25.5" customHeight="1">
      <c r="A481" s="15" t="s">
        <v>551</v>
      </c>
    </row>
    <row r="482" spans="1:1" ht="25.5" customHeight="1">
      <c r="A482" s="15" t="s">
        <v>552</v>
      </c>
    </row>
    <row r="483" spans="1:1" ht="25.5" customHeight="1">
      <c r="A483" s="15" t="s">
        <v>553</v>
      </c>
    </row>
    <row r="484" spans="1:1" ht="25.5" customHeight="1">
      <c r="A484" s="15" t="s">
        <v>554</v>
      </c>
    </row>
    <row r="485" spans="1:1" ht="25.5" customHeight="1">
      <c r="A485" s="15" t="s">
        <v>555</v>
      </c>
    </row>
    <row r="486" spans="1:1" ht="25.5" customHeight="1">
      <c r="A486" s="15" t="s">
        <v>556</v>
      </c>
    </row>
    <row r="487" spans="1:1" ht="25.5" customHeight="1">
      <c r="A487" s="15" t="s">
        <v>557</v>
      </c>
    </row>
    <row r="488" spans="1:1" ht="25.5" customHeight="1">
      <c r="A488" s="15" t="s">
        <v>558</v>
      </c>
    </row>
    <row r="489" spans="1:1" ht="25.5" customHeight="1">
      <c r="A489" s="15" t="s">
        <v>559</v>
      </c>
    </row>
    <row r="490" spans="1:1" ht="25.5" customHeight="1">
      <c r="A490" s="15" t="s">
        <v>560</v>
      </c>
    </row>
    <row r="491" spans="1:1" ht="25.5" customHeight="1">
      <c r="A491" s="15" t="s">
        <v>561</v>
      </c>
    </row>
    <row r="492" spans="1:1" ht="25.5" customHeight="1">
      <c r="A492" s="15" t="s">
        <v>562</v>
      </c>
    </row>
    <row r="493" spans="1:1" ht="25.5" customHeight="1">
      <c r="A493" s="15" t="s">
        <v>563</v>
      </c>
    </row>
    <row r="494" spans="1:1" ht="25.5" customHeight="1">
      <c r="A494" s="15" t="s">
        <v>564</v>
      </c>
    </row>
    <row r="495" spans="1:1" ht="25.5" customHeight="1">
      <c r="A495" s="15" t="s">
        <v>565</v>
      </c>
    </row>
    <row r="496" spans="1:1" ht="25.5" customHeight="1">
      <c r="A496" s="15" t="s">
        <v>566</v>
      </c>
    </row>
    <row r="497" spans="1:8" ht="25.5" customHeight="1">
      <c r="A497" s="15" t="s">
        <v>567</v>
      </c>
    </row>
    <row r="498" spans="1:8" ht="25.5" customHeight="1">
      <c r="A498" s="15" t="s">
        <v>568</v>
      </c>
      <c r="C498" t="s">
        <v>73</v>
      </c>
      <c r="D498" t="s">
        <v>73</v>
      </c>
      <c r="E498" t="s">
        <v>71</v>
      </c>
      <c r="F498" t="s">
        <v>73</v>
      </c>
      <c r="G498" t="s">
        <v>71</v>
      </c>
      <c r="H498" t="s">
        <v>71</v>
      </c>
    </row>
    <row r="499" spans="1:8" ht="25.5" customHeight="1">
      <c r="A499" s="15" t="s">
        <v>569</v>
      </c>
    </row>
    <row r="500" spans="1:8" ht="25.5" customHeight="1">
      <c r="A500" s="15" t="s">
        <v>570</v>
      </c>
      <c r="C500" t="s">
        <v>73</v>
      </c>
      <c r="D500" t="s">
        <v>73</v>
      </c>
      <c r="E500" t="s">
        <v>71</v>
      </c>
      <c r="F500" t="s">
        <v>73</v>
      </c>
      <c r="G500" t="s">
        <v>71</v>
      </c>
      <c r="H500" t="s">
        <v>71</v>
      </c>
    </row>
    <row r="501" spans="1:8" ht="25.5" customHeight="1">
      <c r="A501" s="15" t="s">
        <v>571</v>
      </c>
    </row>
    <row r="502" spans="1:8" ht="25.5" customHeight="1">
      <c r="A502" s="15" t="s">
        <v>572</v>
      </c>
    </row>
    <row r="503" spans="1:8" ht="25.5" customHeight="1">
      <c r="A503" s="15" t="s">
        <v>573</v>
      </c>
    </row>
    <row r="504" spans="1:8" ht="25.5" customHeight="1">
      <c r="A504" s="15" t="s">
        <v>574</v>
      </c>
    </row>
    <row r="505" spans="1:8" ht="25.5" customHeight="1">
      <c r="A505" s="15" t="s">
        <v>575</v>
      </c>
    </row>
    <row r="506" spans="1:8" ht="25.5" customHeight="1">
      <c r="A506" s="15" t="s">
        <v>576</v>
      </c>
    </row>
    <row r="507" spans="1:8" ht="25.5" customHeight="1">
      <c r="A507" s="15" t="s">
        <v>577</v>
      </c>
    </row>
    <row r="508" spans="1:8" ht="25.5" customHeight="1">
      <c r="A508" s="15" t="s">
        <v>578</v>
      </c>
    </row>
    <row r="509" spans="1:8" ht="25.5" customHeight="1">
      <c r="A509" s="15" t="s">
        <v>579</v>
      </c>
    </row>
    <row r="510" spans="1:8" ht="25.5" customHeight="1">
      <c r="A510" s="15" t="s">
        <v>580</v>
      </c>
    </row>
    <row r="511" spans="1:8" ht="25.5" customHeight="1">
      <c r="A511" s="15" t="s">
        <v>581</v>
      </c>
    </row>
    <row r="512" spans="1:8" ht="25.5" customHeight="1">
      <c r="A512" s="15" t="s">
        <v>582</v>
      </c>
    </row>
    <row r="513" spans="1:1" ht="25.5" customHeight="1">
      <c r="A513" s="15" t="s">
        <v>583</v>
      </c>
    </row>
    <row r="514" spans="1:1" ht="25.5" customHeight="1">
      <c r="A514" s="15" t="s">
        <v>584</v>
      </c>
    </row>
  </sheetData>
  <dataValidations count="2">
    <dataValidation type="list" allowBlank="1" showInputMessage="1" showErrorMessage="1" sqref="F52:G52 F87:G87 C2:I9 F10:F27 G14:G17 G23:G24 G26:G27 F29:G31 F35:G42 F45:G45 F48:G48 F58:G61 C500:H500 F152:G155 F75:G76 F101:G101 D10:E79 D80:G80 D81:E81 F123:G123 D82:G82 F85:G85 F191:G198 F89:G90 F97:G99 D83:E102 F113:G116 D103:G103 F106:G106 F110:G111 D150:G150 D104:E133 F135:G136 D134:G134 F148:G148 F139:G143 F145:G145 D135:E149 D173:G174 F190:H190 D151:E156 D157:G157 D158:E162 D163:G163 D164:E164 F166:G167 D165:G165 D166:E168 D169:G169 D170:E172 I10:I247 H171:H189 F221:G247 D248:G248 C251:H251 C282:H282 C315:H316 C321:H322 C329:H329 C362:H362 C369:H369 C380:H380 F83:H83 H10:H82 F125:G133 F162:H162 H84:H161 F170:H170 H163:H169 B2:B514 E175:G188 F211:G211 D175:D247 E189:E247 H191:H248 C10:C248 C262:H262 C275:H279 C331:H331 C339:H340 C345:H345 C365:D365 F365:H365 C411:H411 C421:H421 C428:H428 C439:H440 C446:H446 C448:H449 C498:H498 F63:G72" xr:uid="{00000000-0002-0000-0000-000000000000}">
      <formula1>"YES,NO,NEEDS_REVIEW"</formula1>
    </dataValidation>
    <dataValidation type="list" allowBlank="1" showInputMessage="1" showErrorMessage="1" sqref="A2:A514" xr:uid="{F5C0648D-CBAB-49CE-8DAF-ED02C187A54D}">
      <formula1>INDIRECT("Rcrdngs[Text]")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09"/>
  <sheetViews>
    <sheetView topLeftCell="F570" workbookViewId="0">
      <selection activeCell="J590" sqref="J590"/>
    </sheetView>
  </sheetViews>
  <sheetFormatPr defaultColWidth="9.140625" defaultRowHeight="17.25" customHeight="1"/>
  <cols>
    <col min="1" max="1" width="17.42578125" style="5" customWidth="1"/>
    <col min="2" max="2" width="38.85546875" style="5" bestFit="1" customWidth="1"/>
    <col min="3" max="3" width="45.140625" style="10" customWidth="1"/>
    <col min="4" max="4" width="15" style="5" customWidth="1"/>
    <col min="5" max="5" width="18.42578125" style="37" customWidth="1"/>
    <col min="6" max="8" width="18.140625" style="5" customWidth="1"/>
    <col min="9" max="10" width="22.7109375" style="5" customWidth="1"/>
    <col min="11" max="14" width="18.140625" style="5" customWidth="1"/>
    <col min="15" max="16" width="38.28515625" style="5" customWidth="1"/>
    <col min="17" max="17" width="50.140625" style="5" customWidth="1"/>
    <col min="18" max="18" width="33.28515625" style="5" customWidth="1"/>
    <col min="19" max="21" width="9.140625" style="5"/>
    <col min="22" max="22" width="39.42578125" style="11" customWidth="1"/>
    <col min="23" max="23" width="33.28515625" style="5" customWidth="1"/>
    <col min="24" max="24" width="10" style="5" bestFit="1" customWidth="1"/>
    <col min="25" max="16384" width="9.140625" style="5"/>
  </cols>
  <sheetData>
    <row r="1" spans="1:22" ht="17.25" customHeight="1">
      <c r="A1" s="1" t="s">
        <v>60</v>
      </c>
      <c r="B1" s="2" t="s">
        <v>585</v>
      </c>
      <c r="C1" s="9" t="s">
        <v>586</v>
      </c>
      <c r="D1" s="3" t="s">
        <v>587</v>
      </c>
      <c r="E1" s="36" t="s">
        <v>588</v>
      </c>
      <c r="F1" s="2" t="s">
        <v>589</v>
      </c>
      <c r="G1" s="2" t="s">
        <v>590</v>
      </c>
      <c r="H1" s="2" t="s">
        <v>591</v>
      </c>
      <c r="I1" s="2" t="s">
        <v>592</v>
      </c>
      <c r="J1" s="2" t="s">
        <v>593</v>
      </c>
      <c r="K1" s="40" t="s">
        <v>594</v>
      </c>
      <c r="L1" s="40" t="s">
        <v>595</v>
      </c>
      <c r="M1" s="40" t="s">
        <v>596</v>
      </c>
      <c r="N1" s="40" t="s">
        <v>597</v>
      </c>
      <c r="O1" s="2" t="s">
        <v>598</v>
      </c>
      <c r="P1" s="2" t="s">
        <v>599</v>
      </c>
      <c r="Q1" s="2" t="s">
        <v>600</v>
      </c>
      <c r="R1" s="4" t="s">
        <v>601</v>
      </c>
      <c r="V1" s="5"/>
    </row>
    <row r="2" spans="1:22" ht="17.25" customHeight="1">
      <c r="A2" s="35" t="s">
        <v>602</v>
      </c>
      <c r="B2" s="23" t="str" cm="1">
        <f t="array" ref="B2">_xlfn.TEXTJOIN(", ", TRUE(), _xlfn._xlws.FILTER(Spkrs_Rcrdngs[Speaker],Spkrs_Rcrdngs[Recording]=Rcrdngs[[#This Row],[Text]],"[no speaker selected in Speakers_in_Recordings]"))</f>
        <v>Syria01, Syria03</v>
      </c>
      <c r="C2" s="24" t="str" cm="1">
        <f t="array" ref="C2">_xlfn.TEXTJOIN(", ", TRUE(), _xlfn._xlws.FILTER(Sbcts_Rcrdngs[Subject],Sbcts_Rcrdngs[Recording]=Rcrdngs[[#This Row],[Text]],"[no subject selected in Subjects_in_Recordings]"))</f>
        <v>Consent</v>
      </c>
      <c r="D2" s="25">
        <v>44672</v>
      </c>
      <c r="E2" s="26" t="s">
        <v>603</v>
      </c>
      <c r="F2" s="27" t="s">
        <v>604</v>
      </c>
      <c r="G2" s="27" t="s">
        <v>605</v>
      </c>
      <c r="H2" s="27" t="s">
        <v>606</v>
      </c>
      <c r="I2" s="6"/>
      <c r="J2" s="6"/>
      <c r="K2" s="6"/>
      <c r="L2" s="6"/>
      <c r="M2" s="6"/>
      <c r="N2" s="6"/>
      <c r="O2" s="27" t="s">
        <v>607</v>
      </c>
      <c r="P2" s="34"/>
      <c r="Q2" s="28" t="s">
        <v>608</v>
      </c>
      <c r="R2" s="29"/>
      <c r="V2" s="5"/>
    </row>
    <row r="3" spans="1:22" ht="17.25" customHeight="1">
      <c r="A3" s="35" t="s">
        <v>609</v>
      </c>
      <c r="B3" s="23" t="str" cm="1">
        <f t="array" ref="B3">_xlfn.TEXTJOIN(", ", TRUE(), _xlfn._xlws.FILTER(Spkrs_Rcrdngs[Speaker],Spkrs_Rcrdngs[Recording]=Rcrdngs[[#This Row],[Text]],"[no speaker selected in Speakers_in_Recordings]"))</f>
        <v>Syria01, Syria03</v>
      </c>
      <c r="C3" s="24" t="str" cm="1">
        <f t="array" ref="C3">_xlfn.TEXTJOIN(", ", TRUE(), _xlfn._xlws.FILTER(Sbcts_Rcrdngs[Subject],Sbcts_Rcrdngs[Recording]=Rcrdngs[[#This Row],[Text]],"[no subject selected in Subjects_in_Recordings]"))</f>
        <v>Path to Austria, Syrian War, Family, Profession, Milk, Animals</v>
      </c>
      <c r="D3" s="25">
        <v>44672</v>
      </c>
      <c r="E3" s="26" t="s">
        <v>610</v>
      </c>
      <c r="F3" s="27" t="s">
        <v>604</v>
      </c>
      <c r="G3" s="27" t="s">
        <v>605</v>
      </c>
      <c r="H3" s="27" t="s">
        <v>604</v>
      </c>
      <c r="I3" s="6"/>
      <c r="J3" s="6"/>
      <c r="K3" s="6"/>
      <c r="L3" s="6"/>
      <c r="M3" s="6"/>
      <c r="N3" s="6"/>
      <c r="O3" s="27" t="s">
        <v>607</v>
      </c>
      <c r="P3" s="34"/>
      <c r="Q3" s="28" t="s">
        <v>611</v>
      </c>
      <c r="R3" s="29"/>
      <c r="V3" s="5"/>
    </row>
    <row r="4" spans="1:22" ht="17.25" customHeight="1">
      <c r="A4" s="35" t="s">
        <v>612</v>
      </c>
      <c r="B4" s="23" t="str" cm="1">
        <f t="array" ref="B4">_xlfn.TEXTJOIN(", ", TRUE(), _xlfn._xlws.FILTER(Spkrs_Rcrdngs[Speaker],Spkrs_Rcrdngs[Recording]=Rcrdngs[[#This Row],[Text]],"[no speaker selected in Speakers_in_Recordings]"))</f>
        <v>Syria01, Syria03</v>
      </c>
      <c r="C4" s="24" t="str" cm="1">
        <f t="array" ref="C4">_xlfn.TEXTJOIN(", ", TRUE(), _xlfn._xlws.FILTER(Sbcts_Rcrdngs[Subject],Sbcts_Rcrdngs[Recording]=Rcrdngs[[#This Row],[Text]],"[no subject selected in Subjects_in_Recordings]"))</f>
        <v>Al-Xabur, River, Swimming, Healing Water</v>
      </c>
      <c r="D4" s="25">
        <v>44672</v>
      </c>
      <c r="E4" s="26" t="s">
        <v>613</v>
      </c>
      <c r="F4" s="27" t="s">
        <v>604</v>
      </c>
      <c r="G4" s="27" t="s">
        <v>605</v>
      </c>
      <c r="H4" s="27" t="s">
        <v>604</v>
      </c>
      <c r="I4" s="6"/>
      <c r="J4" s="6"/>
      <c r="K4" s="6"/>
      <c r="L4" s="6"/>
      <c r="M4" s="6"/>
      <c r="N4" s="6"/>
      <c r="O4" s="27" t="s">
        <v>607</v>
      </c>
      <c r="P4" s="34"/>
      <c r="Q4" s="28" t="s">
        <v>614</v>
      </c>
      <c r="R4" s="29"/>
      <c r="V4" s="5"/>
    </row>
    <row r="5" spans="1:22" ht="17.25" customHeight="1">
      <c r="A5" s="35" t="s">
        <v>615</v>
      </c>
      <c r="B5" s="23" t="str" cm="1">
        <f t="array" ref="B5">_xlfn.TEXTJOIN(", ", TRUE(), _xlfn._xlws.FILTER(Spkrs_Rcrdngs[Speaker],Spkrs_Rcrdngs[Recording]=Rcrdngs[[#This Row],[Text]],"[no speaker selected in Speakers_in_Recordings]"))</f>
        <v>Syria01, Syria03</v>
      </c>
      <c r="C5" s="24" t="str" cm="1">
        <f t="array" ref="C5">_xlfn.TEXTJOIN(", ", TRUE(), _xlfn._xlws.FILTER(Sbcts_Rcrdngs[Subject],Sbcts_Rcrdngs[Recording]=Rcrdngs[[#This Row],[Text]],"[no subject selected in Subjects_in_Recordings]"))</f>
        <v>Al-Higit</v>
      </c>
      <c r="D5" s="25">
        <v>44672</v>
      </c>
      <c r="E5" s="26" t="s">
        <v>616</v>
      </c>
      <c r="F5" s="27" t="s">
        <v>604</v>
      </c>
      <c r="G5" s="27" t="s">
        <v>605</v>
      </c>
      <c r="H5" s="27" t="s">
        <v>604</v>
      </c>
      <c r="I5" s="6"/>
      <c r="J5" s="6"/>
      <c r="K5" s="6"/>
      <c r="L5" s="6"/>
      <c r="M5" s="6"/>
      <c r="N5" s="6"/>
      <c r="O5" s="27" t="s">
        <v>607</v>
      </c>
      <c r="P5" s="34"/>
      <c r="Q5" s="28" t="s">
        <v>617</v>
      </c>
      <c r="R5" s="29"/>
      <c r="V5" s="5"/>
    </row>
    <row r="6" spans="1:22" ht="17.25" customHeight="1">
      <c r="A6" s="35" t="s">
        <v>618</v>
      </c>
      <c r="B6" s="23" t="str" cm="1">
        <f t="array" ref="B6">_xlfn.TEXTJOIN(", ", TRUE(), _xlfn._xlws.FILTER(Spkrs_Rcrdngs[Speaker],Spkrs_Rcrdngs[Recording]=Rcrdngs[[#This Row],[Text]],"[no speaker selected in Speakers_in_Recordings]"))</f>
        <v>Syria01, Syria03</v>
      </c>
      <c r="C6" s="24" t="str" cm="1">
        <f t="array" ref="C6">_xlfn.TEXTJOIN(", ", TRUE(), _xlfn._xlws.FILTER(Sbcts_Rcrdngs[Subject],Sbcts_Rcrdngs[Recording]=Rcrdngs[[#This Row],[Text]],"[no subject selected in Subjects_in_Recordings]"))</f>
        <v>Tent, Former Times</v>
      </c>
      <c r="D6" s="25">
        <v>44676</v>
      </c>
      <c r="E6" s="26" t="s">
        <v>619</v>
      </c>
      <c r="F6" s="27" t="s">
        <v>604</v>
      </c>
      <c r="G6" s="27" t="s">
        <v>605</v>
      </c>
      <c r="H6" s="27" t="s">
        <v>604</v>
      </c>
      <c r="I6" s="6"/>
      <c r="J6" s="6"/>
      <c r="K6" s="6"/>
      <c r="L6" s="6"/>
      <c r="M6" s="6"/>
      <c r="N6" s="6"/>
      <c r="O6" s="27" t="s">
        <v>607</v>
      </c>
      <c r="P6" s="34"/>
      <c r="Q6" s="28" t="s">
        <v>620</v>
      </c>
      <c r="R6" s="29"/>
      <c r="V6" s="5"/>
    </row>
    <row r="7" spans="1:22" ht="17.25" customHeight="1">
      <c r="A7" s="35" t="s">
        <v>621</v>
      </c>
      <c r="B7" s="23" t="str" cm="1">
        <f t="array" ref="B7">_xlfn.TEXTJOIN(", ", TRUE(), _xlfn._xlws.FILTER(Spkrs_Rcrdngs[Speaker],Spkrs_Rcrdngs[Recording]=Rcrdngs[[#This Row],[Text]],"[no speaker selected in Speakers_in_Recordings]"))</f>
        <v>Syria01, Syria03</v>
      </c>
      <c r="C7" s="24" t="str" cm="1">
        <f t="array" ref="C7">_xlfn.TEXTJOIN(", ", TRUE(), _xlfn._xlws.FILTER(Sbcts_Rcrdngs[Subject],Sbcts_Rcrdngs[Recording]=Rcrdngs[[#This Row],[Text]],"[no subject selected in Subjects_in_Recordings]"))</f>
        <v>Shawi</v>
      </c>
      <c r="D7" s="25">
        <v>44676</v>
      </c>
      <c r="E7" s="26" t="s">
        <v>622</v>
      </c>
      <c r="F7" s="27" t="s">
        <v>604</v>
      </c>
      <c r="G7" s="27" t="s">
        <v>605</v>
      </c>
      <c r="H7" s="27" t="s">
        <v>604</v>
      </c>
      <c r="I7" s="6"/>
      <c r="J7" s="6"/>
      <c r="K7" s="6"/>
      <c r="L7" s="6"/>
      <c r="M7" s="6"/>
      <c r="N7" s="6"/>
      <c r="O7" s="27" t="s">
        <v>607</v>
      </c>
      <c r="P7" s="34"/>
      <c r="Q7" s="28" t="s">
        <v>623</v>
      </c>
      <c r="R7" s="29"/>
    </row>
    <row r="8" spans="1:22" ht="17.25" customHeight="1">
      <c r="A8" s="35" t="s">
        <v>624</v>
      </c>
      <c r="B8" s="23" t="str" cm="1">
        <f t="array" ref="B8">_xlfn.TEXTJOIN(", ", TRUE(), _xlfn._xlws.FILTER(Spkrs_Rcrdngs[Speaker],Spkrs_Rcrdngs[Recording]=Rcrdngs[[#This Row],[Text]],"[no speaker selected in Speakers_in_Recordings]"))</f>
        <v>Syria03</v>
      </c>
      <c r="C8" s="24" t="str" cm="1">
        <f t="array" ref="C8">_xlfn.TEXTJOIN(", ", TRUE(), _xlfn._xlws.FILTER(Sbcts_Rcrdngs[Subject],Sbcts_Rcrdngs[Recording]=Rcrdngs[[#This Row],[Text]],"[no subject selected in Subjects_in_Recordings]"))</f>
        <v>Game Dorbis</v>
      </c>
      <c r="D8" s="25">
        <v>44683</v>
      </c>
      <c r="E8" s="26" t="s">
        <v>625</v>
      </c>
      <c r="F8" s="27" t="s">
        <v>604</v>
      </c>
      <c r="G8" s="27" t="s">
        <v>605</v>
      </c>
      <c r="H8" s="27" t="s">
        <v>604</v>
      </c>
      <c r="I8" s="6"/>
      <c r="J8" s="6"/>
      <c r="K8" s="6"/>
      <c r="L8" s="6"/>
      <c r="M8" s="6"/>
      <c r="N8" s="6"/>
      <c r="O8" s="27" t="s">
        <v>607</v>
      </c>
      <c r="P8" s="34"/>
      <c r="Q8" s="28" t="s">
        <v>626</v>
      </c>
      <c r="R8" s="29"/>
    </row>
    <row r="9" spans="1:22" ht="17.25" customHeight="1">
      <c r="A9" s="35" t="s">
        <v>627</v>
      </c>
      <c r="B9" s="23" t="str" cm="1">
        <f t="array" ref="B9">_xlfn.TEXTJOIN(", ", TRUE(), _xlfn._xlws.FILTER(Spkrs_Rcrdngs[Speaker],Spkrs_Rcrdngs[Recording]=Rcrdngs[[#This Row],[Text]],"[no speaker selected in Speakers_in_Recordings]"))</f>
        <v>Syria03</v>
      </c>
      <c r="C9" s="24" t="str" cm="1">
        <f t="array" ref="C9">_xlfn.TEXTJOIN(", ", TRUE(), _xlfn._xlws.FILTER(Sbcts_Rcrdngs[Subject],Sbcts_Rcrdngs[Recording]=Rcrdngs[[#This Row],[Text]],"[no subject selected in Subjects_in_Recordings]"))</f>
        <v>Game Az-Zagta</v>
      </c>
      <c r="D9" s="25">
        <v>44684</v>
      </c>
      <c r="E9" s="26" t="s">
        <v>628</v>
      </c>
      <c r="F9" s="27" t="s">
        <v>604</v>
      </c>
      <c r="G9" s="27" t="s">
        <v>605</v>
      </c>
      <c r="H9" s="27" t="s">
        <v>604</v>
      </c>
      <c r="I9" s="6"/>
      <c r="J9" s="6"/>
      <c r="K9" s="6"/>
      <c r="L9" s="6"/>
      <c r="M9" s="6"/>
      <c r="N9" s="6"/>
      <c r="O9" s="27" t="s">
        <v>607</v>
      </c>
      <c r="P9" s="27"/>
      <c r="Q9" s="27" t="s">
        <v>629</v>
      </c>
      <c r="R9" s="29"/>
    </row>
    <row r="10" spans="1:22" ht="17.25" customHeight="1">
      <c r="A10" s="30" t="s">
        <v>630</v>
      </c>
      <c r="B10" s="23" t="str" cm="1">
        <f t="array" ref="B10">_xlfn.TEXTJOIN(", ", TRUE(), _xlfn._xlws.FILTER(Spkrs_Rcrdngs[Speaker],Spkrs_Rcrdngs[Recording]=Rcrdngs[[#This Row],[Text]],"[no speaker selected in Speakers_in_Recordings]"))</f>
        <v>Syria03</v>
      </c>
      <c r="C10" s="23" t="str" cm="1">
        <f t="array" ref="C10">_xlfn.TEXTJOIN(", ", TRUE(), _xlfn._xlws.FILTER(Sbcts_Rcrdngs[Subject],Sbcts_Rcrdngs[Recording]=Rcrdngs[[#This Row],[Text]],"[no subject selected in Subjects_in_Recordings]"))</f>
        <v>Game Ad-Drah</v>
      </c>
      <c r="D10" s="31">
        <v>44684</v>
      </c>
      <c r="E10" s="32" t="s">
        <v>631</v>
      </c>
      <c r="F10" s="27" t="s">
        <v>604</v>
      </c>
      <c r="G10" s="27" t="s">
        <v>605</v>
      </c>
      <c r="H10" s="27" t="s">
        <v>604</v>
      </c>
      <c r="I10" s="6"/>
      <c r="J10" s="9"/>
      <c r="K10" s="9"/>
      <c r="L10" s="9"/>
      <c r="M10" s="9"/>
      <c r="N10" s="6"/>
      <c r="O10" s="27" t="s">
        <v>607</v>
      </c>
      <c r="P10" s="28"/>
      <c r="Q10" s="28" t="s">
        <v>632</v>
      </c>
      <c r="R10" s="33"/>
    </row>
    <row r="11" spans="1:22" ht="17.25" customHeight="1">
      <c r="A11" s="35" t="s">
        <v>633</v>
      </c>
      <c r="B11" s="23" t="str" cm="1">
        <f t="array" ref="B11">_xlfn.TEXTJOIN(", ", TRUE(), _xlfn._xlws.FILTER(Spkrs_Rcrdngs[Speaker],Spkrs_Rcrdngs[Recording]=Rcrdngs[[#This Row],[Text]],"[no speaker selected in Speakers_in_Recordings]"))</f>
        <v>Syria03</v>
      </c>
      <c r="C11" s="24" t="str" cm="1">
        <f t="array" ref="C11">_xlfn.TEXTJOIN(", ", TRUE(), _xlfn._xlws.FILTER(Sbcts_Rcrdngs[Subject],Sbcts_Rcrdngs[Recording]=Rcrdngs[[#This Row],[Text]],"[no subject selected in Subjects_in_Recordings]"))</f>
        <v>Game Al-Hora</v>
      </c>
      <c r="D11" s="25">
        <v>44684</v>
      </c>
      <c r="E11" s="26" t="s">
        <v>634</v>
      </c>
      <c r="F11" s="27" t="s">
        <v>604</v>
      </c>
      <c r="G11" s="27" t="s">
        <v>605</v>
      </c>
      <c r="H11" s="27" t="s">
        <v>604</v>
      </c>
      <c r="I11" s="6"/>
      <c r="J11" s="6"/>
      <c r="K11" s="6"/>
      <c r="L11" s="6"/>
      <c r="M11" s="6"/>
      <c r="N11" s="6"/>
      <c r="O11" s="27" t="s">
        <v>607</v>
      </c>
      <c r="P11" s="34"/>
      <c r="Q11" s="28" t="s">
        <v>635</v>
      </c>
      <c r="R11" s="29"/>
    </row>
    <row r="12" spans="1:22" ht="17.25" customHeight="1">
      <c r="A12" s="30" t="s">
        <v>636</v>
      </c>
      <c r="B12" s="24" t="str" cm="1">
        <f t="array" ref="B12">_xlfn.TEXTJOIN(", ", TRUE(), _xlfn._xlws.FILTER(Spkrs_Rcrdngs[Speaker],Spkrs_Rcrdngs[Recording]=Rcrdngs[[#This Row],[Text]],"[no speaker selected in Speakers_in_Recordings]"))</f>
        <v>Syria03</v>
      </c>
      <c r="C12" s="24" t="str" cm="1">
        <f t="array" ref="C12">_xlfn.TEXTJOIN(", ", TRUE(), _xlfn._xlws.FILTER(Sbcts_Rcrdngs[Subject],Sbcts_Rcrdngs[Recording]=Rcrdngs[[#This Row],[Text]],"[no subject selected in Subjects_in_Recordings]"))</f>
        <v>Eid</v>
      </c>
      <c r="D12" s="31">
        <v>44684</v>
      </c>
      <c r="E12" s="32" t="s">
        <v>637</v>
      </c>
      <c r="F12" s="27" t="s">
        <v>604</v>
      </c>
      <c r="G12" s="27" t="s">
        <v>605</v>
      </c>
      <c r="H12" s="27" t="s">
        <v>604</v>
      </c>
      <c r="I12" s="9"/>
      <c r="J12" s="9"/>
      <c r="K12" s="6"/>
      <c r="L12" s="9"/>
      <c r="M12" s="9"/>
      <c r="N12" s="9"/>
      <c r="O12" s="27" t="s">
        <v>607</v>
      </c>
      <c r="P12" s="28"/>
      <c r="Q12" s="28" t="s">
        <v>638</v>
      </c>
      <c r="R12" s="33"/>
    </row>
    <row r="13" spans="1:22" ht="17.25" customHeight="1">
      <c r="A13" s="35" t="s">
        <v>639</v>
      </c>
      <c r="B13" s="23" t="str" cm="1">
        <f t="array" ref="B13">_xlfn.TEXTJOIN(", ", TRUE(), _xlfn._xlws.FILTER(Spkrs_Rcrdngs[Speaker],Spkrs_Rcrdngs[Recording]=Rcrdngs[[#This Row],[Text]],"[no speaker selected in Speakers_in_Recordings]"))</f>
        <v>Syria03</v>
      </c>
      <c r="C13" s="24" t="str" cm="1">
        <f t="array" ref="C13">_xlfn.TEXTJOIN(", ", TRUE(), _xlfn._xlws.FILTER(Sbcts_Rcrdngs[Subject],Sbcts_Rcrdngs[Recording]=Rcrdngs[[#This Row],[Text]],"[no subject selected in Subjects_in_Recordings]"))</f>
        <v>Eid Ramadan</v>
      </c>
      <c r="D13" s="25">
        <v>44684</v>
      </c>
      <c r="E13" s="26" t="s">
        <v>640</v>
      </c>
      <c r="F13" s="27" t="s">
        <v>604</v>
      </c>
      <c r="G13" s="27" t="s">
        <v>605</v>
      </c>
      <c r="H13" s="27" t="s">
        <v>604</v>
      </c>
      <c r="I13" s="6"/>
      <c r="J13" s="6"/>
      <c r="K13" s="6"/>
      <c r="L13" s="6"/>
      <c r="M13" s="6"/>
      <c r="N13" s="6"/>
      <c r="O13" s="27" t="s">
        <v>607</v>
      </c>
      <c r="P13" s="34"/>
      <c r="Q13" s="28" t="s">
        <v>641</v>
      </c>
      <c r="R13" s="29"/>
    </row>
    <row r="14" spans="1:22" ht="17.25" customHeight="1">
      <c r="A14" s="35" t="s">
        <v>642</v>
      </c>
      <c r="B14" s="23" t="str" cm="1">
        <f t="array" ref="B14">_xlfn.TEXTJOIN(", ", TRUE(), _xlfn._xlws.FILTER(Spkrs_Rcrdngs[Speaker],Spkrs_Rcrdngs[Recording]=Rcrdngs[[#This Row],[Text]],"[no speaker selected in Speakers_in_Recordings]"))</f>
        <v>Syria03</v>
      </c>
      <c r="C14" s="24" t="str" cm="1">
        <f t="array" ref="C14">_xlfn.TEXTJOIN(", ", TRUE(), _xlfn._xlws.FILTER(Sbcts_Rcrdngs[Subject],Sbcts_Rcrdngs[Recording]=Rcrdngs[[#This Row],[Text]],"[no subject selected in Subjects_in_Recordings]"))</f>
        <v>Eid Al-Adha</v>
      </c>
      <c r="D14" s="25">
        <v>44684</v>
      </c>
      <c r="E14" s="26" t="s">
        <v>643</v>
      </c>
      <c r="F14" s="27" t="s">
        <v>604</v>
      </c>
      <c r="G14" s="27" t="s">
        <v>605</v>
      </c>
      <c r="H14" s="27" t="s">
        <v>604</v>
      </c>
      <c r="I14" s="6"/>
      <c r="J14" s="6"/>
      <c r="K14" s="6"/>
      <c r="L14" s="6"/>
      <c r="M14" s="6"/>
      <c r="N14" s="6"/>
      <c r="O14" s="27" t="s">
        <v>607</v>
      </c>
      <c r="P14" s="34"/>
      <c r="Q14" s="28" t="s">
        <v>644</v>
      </c>
      <c r="R14" s="29"/>
    </row>
    <row r="15" spans="1:22" ht="17.25" customHeight="1">
      <c r="A15" s="35" t="s">
        <v>645</v>
      </c>
      <c r="B15" s="23" t="str" cm="1">
        <f t="array" ref="B15">_xlfn.TEXTJOIN(", ", TRUE(), _xlfn._xlws.FILTER(Spkrs_Rcrdngs[Speaker],Spkrs_Rcrdngs[Recording]=Rcrdngs[[#This Row],[Text]],"[no speaker selected in Speakers_in_Recordings]"))</f>
        <v>Syria01, Syria04</v>
      </c>
      <c r="C15" s="24" t="str" cm="1">
        <f t="array" ref="C15">_xlfn.TEXTJOIN(", ", TRUE(), _xlfn._xlws.FILTER(Sbcts_Rcrdngs[Subject],Sbcts_Rcrdngs[Recording]=Rcrdngs[[#This Row],[Text]],"[no subject selected in Subjects_in_Recordings]"))</f>
        <v>Consent</v>
      </c>
      <c r="D15" s="25">
        <v>44686</v>
      </c>
      <c r="E15" s="26" t="s">
        <v>646</v>
      </c>
      <c r="F15" s="27" t="s">
        <v>604</v>
      </c>
      <c r="G15" s="27" t="s">
        <v>605</v>
      </c>
      <c r="H15" s="27" t="s">
        <v>606</v>
      </c>
      <c r="I15" s="6"/>
      <c r="J15" s="6"/>
      <c r="K15" s="6"/>
      <c r="L15" s="6"/>
      <c r="M15" s="6"/>
      <c r="N15" s="6"/>
      <c r="O15" s="27" t="s">
        <v>647</v>
      </c>
      <c r="P15" s="34"/>
      <c r="Q15" s="28" t="s">
        <v>648</v>
      </c>
      <c r="R15" s="29"/>
    </row>
    <row r="16" spans="1:22" ht="17.25" customHeight="1">
      <c r="A16" s="35" t="s">
        <v>649</v>
      </c>
      <c r="B16" s="23" t="str" cm="1">
        <f t="array" ref="B16">_xlfn.TEXTJOIN(", ", TRUE(), _xlfn._xlws.FILTER(Spkrs_Rcrdngs[Speaker],Spkrs_Rcrdngs[Recording]=Rcrdngs[[#This Row],[Text]],"[no speaker selected in Speakers_in_Recordings]"))</f>
        <v>Syria01, Syria04</v>
      </c>
      <c r="C16" s="24" t="str" cm="1">
        <f t="array" ref="C16">_xlfn.TEXTJOIN(", ", TRUE(), _xlfn._xlws.FILTER(Sbcts_Rcrdngs[Subject],Sbcts_Rcrdngs[Recording]=Rcrdngs[[#This Row],[Text]],"[no subject selected in Subjects_in_Recordings]"))</f>
        <v>Profession, Being a Shepherd, Syrian War</v>
      </c>
      <c r="D16" s="25">
        <v>44686</v>
      </c>
      <c r="E16" s="26" t="s">
        <v>650</v>
      </c>
      <c r="F16" s="27" t="s">
        <v>604</v>
      </c>
      <c r="G16" s="27" t="s">
        <v>605</v>
      </c>
      <c r="H16" s="27" t="s">
        <v>604</v>
      </c>
      <c r="I16" s="6"/>
      <c r="J16" s="6"/>
      <c r="K16" s="6"/>
      <c r="L16" s="6"/>
      <c r="M16" s="6"/>
      <c r="N16" s="6"/>
      <c r="O16" s="27" t="s">
        <v>647</v>
      </c>
      <c r="P16" s="34"/>
      <c r="Q16" s="28" t="s">
        <v>651</v>
      </c>
      <c r="R16" s="29"/>
    </row>
    <row r="17" spans="1:18" ht="17.25" customHeight="1">
      <c r="A17" s="35" t="s">
        <v>652</v>
      </c>
      <c r="B17" s="23" t="str" cm="1">
        <f t="array" ref="B17">_xlfn.TEXTJOIN(", ", TRUE(), _xlfn._xlws.FILTER(Spkrs_Rcrdngs[Speaker],Spkrs_Rcrdngs[Recording]=Rcrdngs[[#This Row],[Text]],"[no speaker selected in Speakers_in_Recordings]"))</f>
        <v>Syria01, Syria04</v>
      </c>
      <c r="C17" s="24" t="str" cm="1">
        <f t="array" ref="C17">_xlfn.TEXTJOIN(", ", TRUE(), _xlfn._xlws.FILTER(Sbcts_Rcrdngs[Subject],Sbcts_Rcrdngs[Recording]=Rcrdngs[[#This Row],[Text]],"[no subject selected in Subjects_in_Recordings]"))</f>
        <v>Chasing Women, Personal Story</v>
      </c>
      <c r="D17" s="25">
        <v>44686</v>
      </c>
      <c r="E17" s="26" t="s">
        <v>653</v>
      </c>
      <c r="F17" s="27" t="s">
        <v>604</v>
      </c>
      <c r="G17" s="27" t="s">
        <v>605</v>
      </c>
      <c r="H17" s="27" t="s">
        <v>604</v>
      </c>
      <c r="I17" s="6"/>
      <c r="J17" s="6"/>
      <c r="K17" s="6"/>
      <c r="L17" s="6"/>
      <c r="M17" s="6"/>
      <c r="N17" s="6"/>
      <c r="O17" s="27" t="s">
        <v>647</v>
      </c>
      <c r="P17" s="34"/>
      <c r="Q17" s="28" t="s">
        <v>654</v>
      </c>
      <c r="R17" s="29"/>
    </row>
    <row r="18" spans="1:18" ht="17.25" customHeight="1">
      <c r="A18" s="30" t="s">
        <v>655</v>
      </c>
      <c r="B18" s="23" t="str" cm="1">
        <f t="array" ref="B18">_xlfn.TEXTJOIN(", ", TRUE(), _xlfn._xlws.FILTER(Spkrs_Rcrdngs[Speaker],Spkrs_Rcrdngs[Recording]=Rcrdngs[[#This Row],[Text]],"[no speaker selected in Speakers_in_Recordings]"))</f>
        <v>Syria01, Syria04</v>
      </c>
      <c r="C18" s="24" t="str" cm="1">
        <f t="array" ref="C18">_xlfn.TEXTJOIN(", ", TRUE(), _xlfn._xlws.FILTER(Sbcts_Rcrdngs[Subject],Sbcts_Rcrdngs[Recording]=Rcrdngs[[#This Row],[Text]],"[no subject selected in Subjects_in_Recordings]"))</f>
        <v>Path to Austria</v>
      </c>
      <c r="D18" s="25">
        <v>44686</v>
      </c>
      <c r="E18" s="26" t="s">
        <v>656</v>
      </c>
      <c r="F18" s="27" t="s">
        <v>604</v>
      </c>
      <c r="G18" s="27" t="s">
        <v>605</v>
      </c>
      <c r="H18" s="27" t="s">
        <v>604</v>
      </c>
      <c r="I18" s="6"/>
      <c r="J18" s="6"/>
      <c r="K18" s="6"/>
      <c r="L18" s="6"/>
      <c r="M18" s="6"/>
      <c r="N18" s="6"/>
      <c r="O18" s="27" t="s">
        <v>647</v>
      </c>
      <c r="P18" s="28"/>
      <c r="Q18" s="28" t="s">
        <v>657</v>
      </c>
      <c r="R18" s="29"/>
    </row>
    <row r="19" spans="1:18" ht="17.25" customHeight="1">
      <c r="A19" s="35" t="s">
        <v>658</v>
      </c>
      <c r="B19" s="23" t="str" cm="1">
        <f t="array" ref="B19">_xlfn.TEXTJOIN(", ", TRUE(), _xlfn._xlws.FILTER(Spkrs_Rcrdngs[Speaker],Spkrs_Rcrdngs[Recording]=Rcrdngs[[#This Row],[Text]],"[no speaker selected in Speakers_in_Recordings]"))</f>
        <v>Syria01, Syria04</v>
      </c>
      <c r="C19" s="24" t="str" cm="1">
        <f t="array" ref="C19">_xlfn.TEXTJOIN(", ", TRUE(), _xlfn._xlws.FILTER(Sbcts_Rcrdngs[Subject],Sbcts_Rcrdngs[Recording]=Rcrdngs[[#This Row],[Text]],"[no subject selected in Subjects_in_Recordings]"))</f>
        <v>School Days, Personal Story, Chicken</v>
      </c>
      <c r="D19" s="25">
        <v>44686</v>
      </c>
      <c r="E19" s="26" t="s">
        <v>659</v>
      </c>
      <c r="F19" s="27" t="s">
        <v>604</v>
      </c>
      <c r="G19" s="27" t="s">
        <v>605</v>
      </c>
      <c r="H19" s="27" t="s">
        <v>604</v>
      </c>
      <c r="I19" s="6"/>
      <c r="J19" s="6"/>
      <c r="K19" s="6"/>
      <c r="L19" s="6"/>
      <c r="M19" s="6"/>
      <c r="N19" s="6"/>
      <c r="O19" s="27" t="s">
        <v>647</v>
      </c>
      <c r="P19" s="34"/>
      <c r="Q19" s="28" t="s">
        <v>660</v>
      </c>
      <c r="R19" s="29"/>
    </row>
    <row r="20" spans="1:18" ht="17.25" customHeight="1">
      <c r="A20" s="30" t="s">
        <v>661</v>
      </c>
      <c r="B20" s="23" t="str" cm="1">
        <f t="array" ref="B20">_xlfn.TEXTJOIN(", ", TRUE(), _xlfn._xlws.FILTER(Spkrs_Rcrdngs[Speaker],Spkrs_Rcrdngs[Recording]=Rcrdngs[[#This Row],[Text]],"[no speaker selected in Speakers_in_Recordings]"))</f>
        <v>Syria03</v>
      </c>
      <c r="C20" s="24" t="str" cm="1">
        <f t="array" ref="C20">_xlfn.TEXTJOIN(", ", TRUE(), _xlfn._xlws.FILTER(Sbcts_Rcrdngs[Subject],Sbcts_Rcrdngs[Recording]=Rcrdngs[[#This Row],[Text]],"[no subject selected in Subjects_in_Recordings]"))</f>
        <v>Al-Hamis</v>
      </c>
      <c r="D20" s="25">
        <v>44693</v>
      </c>
      <c r="E20" s="26" t="s">
        <v>662</v>
      </c>
      <c r="F20" s="27" t="s">
        <v>604</v>
      </c>
      <c r="G20" s="27" t="s">
        <v>605</v>
      </c>
      <c r="H20" s="27" t="s">
        <v>604</v>
      </c>
      <c r="I20" s="6"/>
      <c r="J20" s="6"/>
      <c r="K20" s="6"/>
      <c r="L20" s="6"/>
      <c r="M20" s="6"/>
      <c r="N20" s="6"/>
      <c r="O20" s="27" t="s">
        <v>607</v>
      </c>
      <c r="P20" s="28"/>
      <c r="Q20" s="28" t="s">
        <v>663</v>
      </c>
      <c r="R20" s="29"/>
    </row>
    <row r="21" spans="1:18" ht="17.25" customHeight="1">
      <c r="A21" s="35" t="s">
        <v>664</v>
      </c>
      <c r="B21" s="23" t="str" cm="1">
        <f t="array" ref="B21">_xlfn.TEXTJOIN(", ", TRUE(), _xlfn._xlws.FILTER(Spkrs_Rcrdngs[Speaker],Spkrs_Rcrdngs[Recording]=Rcrdngs[[#This Row],[Text]],"[no speaker selected in Speakers_in_Recordings]"))</f>
        <v>Syria03</v>
      </c>
      <c r="C21" s="24" t="str" cm="1">
        <f t="array" ref="C21">_xlfn.TEXTJOIN(", ", TRUE(), _xlfn._xlws.FILTER(Sbcts_Rcrdngs[Subject],Sbcts_Rcrdngs[Recording]=Rcrdngs[[#This Row],[Text]],"[no subject selected in Subjects_in_Recordings]"))</f>
        <v>Al-Mangusa, Ar-Rshedi</v>
      </c>
      <c r="D21" s="25">
        <v>44693</v>
      </c>
      <c r="E21" s="26" t="s">
        <v>665</v>
      </c>
      <c r="F21" s="27" t="s">
        <v>604</v>
      </c>
      <c r="G21" s="27" t="s">
        <v>605</v>
      </c>
      <c r="H21" s="27" t="s">
        <v>604</v>
      </c>
      <c r="I21" s="6"/>
      <c r="J21" s="6"/>
      <c r="K21" s="6"/>
      <c r="L21" s="6"/>
      <c r="M21" s="6"/>
      <c r="N21" s="6"/>
      <c r="O21" s="27" t="s">
        <v>607</v>
      </c>
      <c r="P21" s="34"/>
      <c r="Q21" s="28" t="s">
        <v>666</v>
      </c>
      <c r="R21" s="29"/>
    </row>
    <row r="22" spans="1:18" ht="17.25" customHeight="1">
      <c r="A22" s="35" t="s">
        <v>667</v>
      </c>
      <c r="B22" s="23" t="str" cm="1">
        <f t="array" ref="B22">_xlfn.TEXTJOIN(", ", TRUE(), _xlfn._xlws.FILTER(Spkrs_Rcrdngs[Speaker],Spkrs_Rcrdngs[Recording]=Rcrdngs[[#This Row],[Text]],"[no speaker selected in Speakers_in_Recordings]"))</f>
        <v>Syria03</v>
      </c>
      <c r="C22" s="24" t="str" cm="1">
        <f t="array" ref="C22">_xlfn.TEXTJOIN(", ", TRUE(), _xlfn._xlws.FILTER(Sbcts_Rcrdngs[Subject],Sbcts_Rcrdngs[Recording]=Rcrdngs[[#This Row],[Text]],"[no subject selected in Subjects_in_Recordings]"))</f>
        <v>Arab Soup</v>
      </c>
      <c r="D22" s="25">
        <v>44693</v>
      </c>
      <c r="E22" s="26" t="s">
        <v>622</v>
      </c>
      <c r="F22" s="27" t="s">
        <v>604</v>
      </c>
      <c r="G22" s="27" t="s">
        <v>605</v>
      </c>
      <c r="H22" s="27" t="s">
        <v>604</v>
      </c>
      <c r="I22" s="6"/>
      <c r="J22" s="6"/>
      <c r="K22" s="6"/>
      <c r="L22" s="6"/>
      <c r="M22" s="6"/>
      <c r="N22" s="6"/>
      <c r="O22" s="27" t="s">
        <v>607</v>
      </c>
      <c r="P22" s="34"/>
      <c r="Q22" s="28" t="s">
        <v>668</v>
      </c>
      <c r="R22" s="29"/>
    </row>
    <row r="23" spans="1:18" ht="17.25" customHeight="1">
      <c r="A23" s="35" t="s">
        <v>669</v>
      </c>
      <c r="B23" s="23" t="str" cm="1">
        <f t="array" ref="B23">_xlfn.TEXTJOIN(", ", TRUE(), _xlfn._xlws.FILTER(Spkrs_Rcrdngs[Speaker],Spkrs_Rcrdngs[Recording]=Rcrdngs[[#This Row],[Text]],"[no speaker selected in Speakers_in_Recordings]"))</f>
        <v>Syria03</v>
      </c>
      <c r="C23" s="24" t="str" cm="1">
        <f t="array" ref="C23">_xlfn.TEXTJOIN(", ", TRUE(), _xlfn._xlws.FILTER(Sbcts_Rcrdngs[Subject],Sbcts_Rcrdngs[Recording]=Rcrdngs[[#This Row],[Text]],"[no subject selected in Subjects_in_Recordings]"))</f>
        <v>Bamya</v>
      </c>
      <c r="D23" s="25">
        <v>44693</v>
      </c>
      <c r="E23" s="26" t="s">
        <v>622</v>
      </c>
      <c r="F23" s="27" t="s">
        <v>604</v>
      </c>
      <c r="G23" s="27" t="s">
        <v>605</v>
      </c>
      <c r="H23" s="27"/>
      <c r="I23" s="6"/>
      <c r="J23" s="6"/>
      <c r="K23" s="6"/>
      <c r="L23" s="6"/>
      <c r="M23" s="6"/>
      <c r="N23" s="6"/>
      <c r="O23" s="27" t="s">
        <v>607</v>
      </c>
      <c r="P23" s="34"/>
      <c r="Q23" s="28" t="s">
        <v>670</v>
      </c>
      <c r="R23" s="29"/>
    </row>
    <row r="24" spans="1:18" ht="17.25" customHeight="1">
      <c r="A24" s="30" t="s">
        <v>671</v>
      </c>
      <c r="B24" s="23" t="str" cm="1">
        <f t="array" ref="B24">_xlfn.TEXTJOIN(", ", TRUE(), _xlfn._xlws.FILTER(Spkrs_Rcrdngs[Speaker],Spkrs_Rcrdngs[Recording]=Rcrdngs[[#This Row],[Text]],"[no speaker selected in Speakers_in_Recordings]"))</f>
        <v>Syria03</v>
      </c>
      <c r="C24" s="24" t="str" cm="1">
        <f t="array" ref="C24">_xlfn.TEXTJOIN(", ", TRUE(), _xlfn._xlws.FILTER(Sbcts_Rcrdngs[Subject],Sbcts_Rcrdngs[Recording]=Rcrdngs[[#This Row],[Text]],"[no subject selected in Subjects_in_Recordings]"))</f>
        <v>Sheep, Wool</v>
      </c>
      <c r="D24" s="25">
        <v>44694</v>
      </c>
      <c r="E24" s="26" t="s">
        <v>672</v>
      </c>
      <c r="F24" s="27" t="s">
        <v>604</v>
      </c>
      <c r="G24" s="27" t="s">
        <v>605</v>
      </c>
      <c r="H24" s="27"/>
      <c r="I24" s="6"/>
      <c r="J24" s="6"/>
      <c r="K24" s="6"/>
      <c r="L24" s="6"/>
      <c r="M24" s="6"/>
      <c r="N24" s="6"/>
      <c r="O24" s="27" t="s">
        <v>607</v>
      </c>
      <c r="P24" s="34"/>
      <c r="Q24" s="34" t="s">
        <v>673</v>
      </c>
      <c r="R24" s="29"/>
    </row>
    <row r="25" spans="1:18" ht="17.25" customHeight="1">
      <c r="A25" s="30" t="s">
        <v>674</v>
      </c>
      <c r="B25" s="23" t="str" cm="1">
        <f t="array" ref="B25">_xlfn.TEXTJOIN(", ", TRUE(), _xlfn._xlws.FILTER(Spkrs_Rcrdngs[Speaker],Spkrs_Rcrdngs[Recording]=Rcrdngs[[#This Row],[Text]],"[no speaker selected in Speakers_in_Recordings]"))</f>
        <v>Syria03</v>
      </c>
      <c r="C25" s="24" t="str" cm="1">
        <f t="array" ref="C25">_xlfn.TEXTJOIN(", ", TRUE(), _xlfn._xlws.FILTER(Sbcts_Rcrdngs[Subject],Sbcts_Rcrdngs[Recording]=Rcrdngs[[#This Row],[Text]],"[no subject selected in Subjects_in_Recordings]"))</f>
        <v>Summer Tent, Former Times, Wedding</v>
      </c>
      <c r="D25" s="25">
        <v>44694</v>
      </c>
      <c r="E25" s="26" t="s">
        <v>675</v>
      </c>
      <c r="F25" s="27" t="s">
        <v>604</v>
      </c>
      <c r="G25" s="27" t="s">
        <v>605</v>
      </c>
      <c r="H25" s="27"/>
      <c r="I25" s="6"/>
      <c r="J25" s="6"/>
      <c r="K25" s="6"/>
      <c r="L25" s="6"/>
      <c r="M25" s="6"/>
      <c r="N25" s="6"/>
      <c r="O25" s="27" t="s">
        <v>607</v>
      </c>
      <c r="P25" s="34"/>
      <c r="Q25" s="34" t="s">
        <v>676</v>
      </c>
      <c r="R25" s="29"/>
    </row>
    <row r="26" spans="1:18" ht="17.25" customHeight="1">
      <c r="A26" s="35" t="s">
        <v>677</v>
      </c>
      <c r="B26" s="23" t="str" cm="1">
        <f t="array" ref="B26">_xlfn.TEXTJOIN(", ", TRUE(), _xlfn._xlws.FILTER(Spkrs_Rcrdngs[Speaker],Spkrs_Rcrdngs[Recording]=Rcrdngs[[#This Row],[Text]],"[no speaker selected in Speakers_in_Recordings]"))</f>
        <v>Syria03</v>
      </c>
      <c r="C26" s="24" t="str" cm="1">
        <f t="array" ref="C26">_xlfn.TEXTJOIN(", ", TRUE(), _xlfn._xlws.FILTER(Sbcts_Rcrdngs[Subject],Sbcts_Rcrdngs[Recording]=Rcrdngs[[#This Row],[Text]],"[no subject selected in Subjects_in_Recordings]"))</f>
        <v>Harvesting</v>
      </c>
      <c r="D26" s="25">
        <v>44694</v>
      </c>
      <c r="E26" s="26" t="s">
        <v>678</v>
      </c>
      <c r="F26" s="27" t="s">
        <v>604</v>
      </c>
      <c r="G26" s="27" t="s">
        <v>605</v>
      </c>
      <c r="H26" s="27"/>
      <c r="I26" s="6"/>
      <c r="J26" s="6"/>
      <c r="K26" s="6"/>
      <c r="L26" s="6"/>
      <c r="M26" s="6"/>
      <c r="N26" s="6"/>
      <c r="O26" s="27" t="s">
        <v>607</v>
      </c>
      <c r="P26" s="34"/>
      <c r="Q26" s="28" t="s">
        <v>679</v>
      </c>
      <c r="R26" s="29"/>
    </row>
    <row r="27" spans="1:18" ht="17.25" customHeight="1">
      <c r="A27" s="35" t="s">
        <v>680</v>
      </c>
      <c r="B27" s="23" t="str" cm="1">
        <f t="array" ref="B27">_xlfn.TEXTJOIN(", ", TRUE(), _xlfn._xlws.FILTER(Spkrs_Rcrdngs[Speaker],Spkrs_Rcrdngs[Recording]=Rcrdngs[[#This Row],[Text]],"[no speaker selected in Speakers_in_Recordings]"))</f>
        <v>Syria03</v>
      </c>
      <c r="C27" s="24" t="str" cm="1">
        <f t="array" ref="C27">_xlfn.TEXTJOIN(", ", TRUE(), _xlfn._xlws.FILTER(Sbcts_Rcrdngs[Subject],Sbcts_Rcrdngs[Recording]=Rcrdngs[[#This Row],[Text]],"[no subject selected in Subjects_in_Recordings]"))</f>
        <v>Al-Xumea, Al-Ftile</v>
      </c>
      <c r="D27" s="25">
        <v>44694</v>
      </c>
      <c r="E27" s="26" t="s">
        <v>681</v>
      </c>
      <c r="F27" s="27" t="s">
        <v>604</v>
      </c>
      <c r="G27" s="27" t="s">
        <v>605</v>
      </c>
      <c r="H27" s="27"/>
      <c r="I27" s="6"/>
      <c r="J27" s="6"/>
      <c r="K27" s="6"/>
      <c r="L27" s="6"/>
      <c r="M27" s="6"/>
      <c r="N27" s="6"/>
      <c r="O27" s="27" t="s">
        <v>607</v>
      </c>
      <c r="P27" s="34"/>
      <c r="Q27" s="28" t="s">
        <v>682</v>
      </c>
      <c r="R27" s="29"/>
    </row>
    <row r="28" spans="1:18" ht="17.25" customHeight="1">
      <c r="A28" s="35" t="s">
        <v>683</v>
      </c>
      <c r="B28" s="23" t="str" cm="1">
        <f t="array" ref="B28">_xlfn.TEXTJOIN(", ", TRUE(), _xlfn._xlws.FILTER(Spkrs_Rcrdngs[Speaker],Spkrs_Rcrdngs[Recording]=Rcrdngs[[#This Row],[Text]],"[no speaker selected in Speakers_in_Recordings]"))</f>
        <v>Syria08</v>
      </c>
      <c r="C28" s="24" t="str" cm="1">
        <f t="array" ref="C28">_xlfn.TEXTJOIN(", ", TRUE(), _xlfn._xlws.FILTER(Sbcts_Rcrdngs[Subject],Sbcts_Rcrdngs[Recording]=Rcrdngs[[#This Row],[Text]],"[no subject selected in Subjects_in_Recordings]"))</f>
        <v>Cotton Crop</v>
      </c>
      <c r="D28" s="25">
        <v>45008</v>
      </c>
      <c r="E28" s="26" t="s">
        <v>684</v>
      </c>
      <c r="F28" s="27" t="s">
        <v>604</v>
      </c>
      <c r="G28" s="27" t="s">
        <v>605</v>
      </c>
      <c r="H28" s="27"/>
      <c r="I28" s="6"/>
      <c r="J28" s="6"/>
      <c r="K28" s="6"/>
      <c r="L28" s="6"/>
      <c r="M28" s="6"/>
      <c r="N28" s="6"/>
      <c r="O28" s="27" t="s">
        <v>685</v>
      </c>
      <c r="P28" s="34"/>
      <c r="Q28" s="28" t="s">
        <v>686</v>
      </c>
      <c r="R28" s="29"/>
    </row>
    <row r="29" spans="1:18" ht="17.25" customHeight="1">
      <c r="A29" s="30" t="s">
        <v>687</v>
      </c>
      <c r="B29" s="23" t="str" cm="1">
        <f t="array" ref="B29">_xlfn.TEXTJOIN(", ", TRUE(), _xlfn._xlws.FILTER(Spkrs_Rcrdngs[Speaker],Spkrs_Rcrdngs[Recording]=Rcrdngs[[#This Row],[Text]],"[no speaker selected in Speakers_in_Recordings]"))</f>
        <v>Syria08</v>
      </c>
      <c r="C29" s="24" t="str" cm="1">
        <f t="array" ref="C29">_xlfn.TEXTJOIN(", ", TRUE(), _xlfn._xlws.FILTER(Sbcts_Rcrdngs[Subject],Sbcts_Rcrdngs[Recording]=Rcrdngs[[#This Row],[Text]],"[no subject selected in Subjects_in_Recordings]"))</f>
        <v>About Stories</v>
      </c>
      <c r="D29" s="25">
        <v>45008</v>
      </c>
      <c r="E29" s="26" t="s">
        <v>688</v>
      </c>
      <c r="F29" s="27" t="s">
        <v>604</v>
      </c>
      <c r="G29" s="27" t="s">
        <v>605</v>
      </c>
      <c r="H29" s="27"/>
      <c r="I29" s="6"/>
      <c r="J29" s="6"/>
      <c r="K29" s="6"/>
      <c r="L29" s="6"/>
      <c r="M29" s="6"/>
      <c r="N29" s="6"/>
      <c r="O29" s="27" t="s">
        <v>685</v>
      </c>
      <c r="P29" s="34"/>
      <c r="Q29" s="34" t="s">
        <v>689</v>
      </c>
      <c r="R29" s="29"/>
    </row>
    <row r="30" spans="1:18" ht="17.25" customHeight="1">
      <c r="A30" s="30" t="s">
        <v>690</v>
      </c>
      <c r="B30" s="23" t="str" cm="1">
        <f t="array" ref="B30">_xlfn.TEXTJOIN(", ", TRUE(), _xlfn._xlws.FILTER(Spkrs_Rcrdngs[Speaker],Spkrs_Rcrdngs[Recording]=Rcrdngs[[#This Row],[Text]],"[no speaker selected in Speakers_in_Recordings]"))</f>
        <v>Syria08</v>
      </c>
      <c r="C30" s="24" t="str" cm="1">
        <f t="array" ref="C30">_xlfn.TEXTJOIN(", ", TRUE(), _xlfn._xlws.FILTER(Sbcts_Rcrdngs[Subject],Sbcts_Rcrdngs[Recording]=Rcrdngs[[#This Row],[Text]],"[no subject selected in Subjects_in_Recordings]"))</f>
        <v>A Fight</v>
      </c>
      <c r="D30" s="25">
        <v>45008</v>
      </c>
      <c r="E30" s="26" t="s">
        <v>691</v>
      </c>
      <c r="F30" s="27" t="s">
        <v>604</v>
      </c>
      <c r="G30" s="27" t="s">
        <v>605</v>
      </c>
      <c r="H30" s="27"/>
      <c r="I30" s="6"/>
      <c r="J30" s="6"/>
      <c r="K30" s="6"/>
      <c r="L30" s="6"/>
      <c r="M30" s="6"/>
      <c r="N30" s="6"/>
      <c r="O30" s="27" t="s">
        <v>685</v>
      </c>
      <c r="P30" s="34"/>
      <c r="Q30" s="34" t="s">
        <v>692</v>
      </c>
      <c r="R30" s="29"/>
    </row>
    <row r="31" spans="1:18" ht="17.25" customHeight="1">
      <c r="A31" s="35" t="s">
        <v>693</v>
      </c>
      <c r="B31" s="23" t="str" cm="1">
        <f t="array" ref="B31">_xlfn.TEXTJOIN(", ", TRUE(), _xlfn._xlws.FILTER(Spkrs_Rcrdngs[Speaker],Spkrs_Rcrdngs[Recording]=Rcrdngs[[#This Row],[Text]],"[no speaker selected in Speakers_in_Recordings]"))</f>
        <v>Syria08</v>
      </c>
      <c r="C31" s="24" t="str" cm="1">
        <f t="array" ref="C31">_xlfn.TEXTJOIN(", ", TRUE(), _xlfn._xlws.FILTER(Sbcts_Rcrdngs[Subject],Sbcts_Rcrdngs[Recording]=Rcrdngs[[#This Row],[Text]],"[no subject selected in Subjects_in_Recordings]"))</f>
        <v>Military</v>
      </c>
      <c r="D31" s="25">
        <v>45008</v>
      </c>
      <c r="E31" s="26" t="s">
        <v>694</v>
      </c>
      <c r="F31" s="27" t="s">
        <v>604</v>
      </c>
      <c r="G31" s="27" t="s">
        <v>605</v>
      </c>
      <c r="H31" s="27"/>
      <c r="I31" s="6"/>
      <c r="J31" s="6"/>
      <c r="K31" s="6"/>
      <c r="L31" s="6"/>
      <c r="M31" s="6"/>
      <c r="N31" s="6"/>
      <c r="O31" s="27" t="s">
        <v>685</v>
      </c>
      <c r="P31" s="28"/>
      <c r="Q31" s="28" t="s">
        <v>695</v>
      </c>
      <c r="R31" s="29"/>
    </row>
    <row r="32" spans="1:18" ht="17.25" customHeight="1">
      <c r="A32" s="30" t="s">
        <v>696</v>
      </c>
      <c r="B32" s="23" t="str" cm="1">
        <f t="array" ref="B32">_xlfn.TEXTJOIN(", ", TRUE(), _xlfn._xlws.FILTER(Spkrs_Rcrdngs[Speaker],Spkrs_Rcrdngs[Recording]=Rcrdngs[[#This Row],[Text]],"[no speaker selected in Speakers_in_Recordings]"))</f>
        <v>Syria08</v>
      </c>
      <c r="C32" s="24" t="str" cm="1">
        <f t="array" ref="C32">_xlfn.TEXTJOIN(", ", TRUE(), _xlfn._xlws.FILTER(Sbcts_Rcrdngs[Subject],Sbcts_Rcrdngs[Recording]=Rcrdngs[[#This Row],[Text]],"[no subject selected in Subjects_in_Recordings]"))</f>
        <v>Heading to Germany</v>
      </c>
      <c r="D32" s="25">
        <v>45008</v>
      </c>
      <c r="E32" s="26" t="s">
        <v>694</v>
      </c>
      <c r="F32" s="27" t="s">
        <v>604</v>
      </c>
      <c r="G32" s="27" t="s">
        <v>605</v>
      </c>
      <c r="H32" s="27"/>
      <c r="I32" s="6"/>
      <c r="J32" s="6"/>
      <c r="K32" s="6"/>
      <c r="L32" s="6"/>
      <c r="M32" s="6"/>
      <c r="N32" s="6"/>
      <c r="O32" s="27" t="s">
        <v>685</v>
      </c>
      <c r="P32" s="34"/>
      <c r="Q32" s="34" t="s">
        <v>697</v>
      </c>
      <c r="R32" s="29"/>
    </row>
    <row r="33" spans="1:18" ht="17.25" customHeight="1">
      <c r="A33" s="30" t="s">
        <v>698</v>
      </c>
      <c r="B33" s="23" t="str" cm="1">
        <f t="array" ref="B33">_xlfn.TEXTJOIN(", ", TRUE(), _xlfn._xlws.FILTER(Spkrs_Rcrdngs[Speaker],Spkrs_Rcrdngs[Recording]=Rcrdngs[[#This Row],[Text]],"[no speaker selected in Speakers_in_Recordings]"))</f>
        <v>Syria08</v>
      </c>
      <c r="C33" s="24" t="str" cm="1">
        <f t="array" ref="C33">_xlfn.TEXTJOIN(", ", TRUE(), _xlfn._xlws.FILTER(Sbcts_Rcrdngs[Subject],Sbcts_Rcrdngs[Recording]=Rcrdngs[[#This Row],[Text]],"[no subject selected in Subjects_in_Recordings]"))</f>
        <v>In Ras al-Ain</v>
      </c>
      <c r="D33" s="25">
        <v>45008</v>
      </c>
      <c r="E33" s="26" t="s">
        <v>699</v>
      </c>
      <c r="F33" s="27" t="s">
        <v>604</v>
      </c>
      <c r="G33" s="27" t="s">
        <v>605</v>
      </c>
      <c r="H33" s="27"/>
      <c r="I33" s="6"/>
      <c r="J33" s="6"/>
      <c r="K33" s="6"/>
      <c r="L33" s="6"/>
      <c r="M33" s="6"/>
      <c r="N33" s="6"/>
      <c r="O33" s="27" t="s">
        <v>685</v>
      </c>
      <c r="P33" s="34"/>
      <c r="Q33" s="34" t="s">
        <v>700</v>
      </c>
      <c r="R33" s="29"/>
    </row>
    <row r="34" spans="1:18" ht="17.25" customHeight="1">
      <c r="A34" s="30" t="s">
        <v>701</v>
      </c>
      <c r="B34" s="23" t="str" cm="1">
        <f t="array" ref="B34">_xlfn.TEXTJOIN(", ", TRUE(), _xlfn._xlws.FILTER(Spkrs_Rcrdngs[Speaker],Spkrs_Rcrdngs[Recording]=Rcrdngs[[#This Row],[Text]],"[no speaker selected in Speakers_in_Recordings]"))</f>
        <v>Syria08</v>
      </c>
      <c r="C34" s="24" t="str" cm="1">
        <f t="array" ref="C34">_xlfn.TEXTJOIN(", ", TRUE(), _xlfn._xlws.FILTER(Sbcts_Rcrdngs[Subject],Sbcts_Rcrdngs[Recording]=Rcrdngs[[#This Row],[Text]],"[no subject selected in Subjects_in_Recordings]"))</f>
        <v>Crossing the Borders</v>
      </c>
      <c r="D34" s="25">
        <v>45008</v>
      </c>
      <c r="E34" s="26" t="s">
        <v>702</v>
      </c>
      <c r="F34" s="27" t="s">
        <v>604</v>
      </c>
      <c r="G34" s="27" t="s">
        <v>605</v>
      </c>
      <c r="H34" s="27"/>
      <c r="I34" s="6"/>
      <c r="J34" s="6"/>
      <c r="K34" s="6"/>
      <c r="L34" s="6"/>
      <c r="M34" s="6"/>
      <c r="N34" s="6"/>
      <c r="O34" s="27" t="s">
        <v>685</v>
      </c>
      <c r="P34" s="34"/>
      <c r="Q34" s="34" t="s">
        <v>703</v>
      </c>
      <c r="R34" s="29"/>
    </row>
    <row r="35" spans="1:18" ht="17.25" customHeight="1">
      <c r="A35" s="30" t="s">
        <v>704</v>
      </c>
      <c r="B35" s="23" t="str" cm="1">
        <f t="array" ref="B35">_xlfn.TEXTJOIN(", ", TRUE(), _xlfn._xlws.FILTER(Spkrs_Rcrdngs[Speaker],Spkrs_Rcrdngs[Recording]=Rcrdngs[[#This Row],[Text]],"[no speaker selected in Speakers_in_Recordings]"))</f>
        <v>Syria08</v>
      </c>
      <c r="C35" s="24" t="str" cm="1">
        <f t="array" ref="C35">_xlfn.TEXTJOIN(", ", TRUE(), _xlfn._xlws.FILTER(Sbcts_Rcrdngs[Subject],Sbcts_Rcrdngs[Recording]=Rcrdngs[[#This Row],[Text]],"[no subject selected in Subjects_in_Recordings]"))</f>
        <v>Reaching Urfa</v>
      </c>
      <c r="D35" s="25">
        <v>45008</v>
      </c>
      <c r="E35" s="26" t="s">
        <v>705</v>
      </c>
      <c r="F35" s="27" t="s">
        <v>604</v>
      </c>
      <c r="G35" s="27" t="s">
        <v>605</v>
      </c>
      <c r="H35" s="27"/>
      <c r="I35" s="6"/>
      <c r="J35" s="6"/>
      <c r="K35" s="6"/>
      <c r="L35" s="6"/>
      <c r="M35" s="6"/>
      <c r="N35" s="6"/>
      <c r="O35" s="27" t="s">
        <v>685</v>
      </c>
      <c r="P35" s="34"/>
      <c r="Q35" s="34" t="s">
        <v>706</v>
      </c>
      <c r="R35" s="29"/>
    </row>
    <row r="36" spans="1:18" ht="17.25" customHeight="1">
      <c r="A36" s="35" t="s">
        <v>707</v>
      </c>
      <c r="B36" s="23" t="str" cm="1">
        <f t="array" ref="B36">_xlfn.TEXTJOIN(", ", TRUE(), _xlfn._xlws.FILTER(Spkrs_Rcrdngs[Speaker],Spkrs_Rcrdngs[Recording]=Rcrdngs[[#This Row],[Text]],"[no speaker selected in Speakers_in_Recordings]"))</f>
        <v>Syria08</v>
      </c>
      <c r="C36" s="24" t="str" cm="1">
        <f t="array" ref="C36">_xlfn.TEXTJOIN(", ", TRUE(), _xlfn._xlws.FILTER(Sbcts_Rcrdngs[Subject],Sbcts_Rcrdngs[Recording]=Rcrdngs[[#This Row],[Text]],"[no subject selected in Subjects_in_Recordings]"))</f>
        <v>To Istanbul</v>
      </c>
      <c r="D36" s="25">
        <v>45008</v>
      </c>
      <c r="E36" s="26" t="s">
        <v>708</v>
      </c>
      <c r="F36" s="27" t="s">
        <v>604</v>
      </c>
      <c r="G36" s="27" t="s">
        <v>605</v>
      </c>
      <c r="H36" s="27"/>
      <c r="I36" s="6"/>
      <c r="J36" s="6"/>
      <c r="K36" s="6"/>
      <c r="L36" s="6"/>
      <c r="M36" s="6"/>
      <c r="N36" s="6"/>
      <c r="O36" s="27" t="s">
        <v>685</v>
      </c>
      <c r="P36" s="34"/>
      <c r="Q36" s="28" t="s">
        <v>709</v>
      </c>
      <c r="R36" s="29"/>
    </row>
    <row r="37" spans="1:18" ht="17.25" customHeight="1">
      <c r="A37" s="35" t="s">
        <v>710</v>
      </c>
      <c r="B37" s="23" t="str" cm="1">
        <f t="array" ref="B37">_xlfn.TEXTJOIN(", ", TRUE(), _xlfn._xlws.FILTER(Spkrs_Rcrdngs[Speaker],Spkrs_Rcrdngs[Recording]=Rcrdngs[[#This Row],[Text]],"[no speaker selected in Speakers_in_Recordings]"))</f>
        <v>Syria08</v>
      </c>
      <c r="C37" s="24" t="str" cm="1">
        <f t="array" ref="C37">_xlfn.TEXTJOIN(", ", TRUE(), _xlfn._xlws.FILTER(Sbcts_Rcrdngs[Subject],Sbcts_Rcrdngs[Recording]=Rcrdngs[[#This Row],[Text]],"[no subject selected in Subjects_in_Recordings]"))</f>
        <v>Voice Message</v>
      </c>
      <c r="D37" s="25">
        <v>45013</v>
      </c>
      <c r="E37" s="26" t="s">
        <v>711</v>
      </c>
      <c r="F37" s="27" t="s">
        <v>604</v>
      </c>
      <c r="G37" s="27" t="s">
        <v>605</v>
      </c>
      <c r="H37" s="27"/>
      <c r="I37" s="6"/>
      <c r="J37" s="6"/>
      <c r="K37" s="6"/>
      <c r="L37" s="6"/>
      <c r="M37" s="6"/>
      <c r="N37" s="6"/>
      <c r="O37" s="27" t="s">
        <v>685</v>
      </c>
      <c r="P37" s="34"/>
      <c r="Q37" s="28" t="s">
        <v>712</v>
      </c>
      <c r="R37" s="29"/>
    </row>
    <row r="38" spans="1:18" ht="17.25" customHeight="1">
      <c r="A38" s="35" t="s">
        <v>713</v>
      </c>
      <c r="B38" s="23" t="str" cm="1">
        <f t="array" ref="B38">_xlfn.TEXTJOIN(", ", TRUE(), _xlfn._xlws.FILTER(Spkrs_Rcrdngs[Speaker],Spkrs_Rcrdngs[Recording]=Rcrdngs[[#This Row],[Text]],"[no speaker selected in Speakers_in_Recordings]"))</f>
        <v>Syria08</v>
      </c>
      <c r="C38" s="24" t="str" cm="1">
        <f t="array" ref="C38">_xlfn.TEXTJOIN(", ", TRUE(), _xlfn._xlws.FILTER(Sbcts_Rcrdngs[Subject],Sbcts_Rcrdngs[Recording]=Rcrdngs[[#This Row],[Text]],"[no subject selected in Subjects_in_Recordings]"))</f>
        <v>A Laughing Girl</v>
      </c>
      <c r="D38" s="25">
        <v>45013</v>
      </c>
      <c r="E38" s="26" t="s">
        <v>688</v>
      </c>
      <c r="F38" s="27" t="s">
        <v>604</v>
      </c>
      <c r="G38" s="27" t="s">
        <v>605</v>
      </c>
      <c r="H38" s="27"/>
      <c r="I38" s="6"/>
      <c r="J38" s="6"/>
      <c r="K38" s="6"/>
      <c r="L38" s="6"/>
      <c r="M38" s="6"/>
      <c r="N38" s="6"/>
      <c r="O38" s="27" t="s">
        <v>685</v>
      </c>
      <c r="P38" s="34"/>
      <c r="Q38" s="28" t="s">
        <v>714</v>
      </c>
      <c r="R38" s="29"/>
    </row>
    <row r="39" spans="1:18" ht="17.25" customHeight="1">
      <c r="A39" s="35" t="s">
        <v>715</v>
      </c>
      <c r="B39" s="23" t="str" cm="1">
        <f t="array" ref="B39">_xlfn.TEXTJOIN(", ", TRUE(), _xlfn._xlws.FILTER(Spkrs_Rcrdngs[Speaker],Spkrs_Rcrdngs[Recording]=Rcrdngs[[#This Row],[Text]],"[no speaker selected in Speakers_in_Recordings]"))</f>
        <v>Syria08</v>
      </c>
      <c r="C39" s="24" t="str" cm="1">
        <f t="array" ref="C39">_xlfn.TEXTJOIN(", ", TRUE(), _xlfn._xlws.FILTER(Sbcts_Rcrdngs[Subject],Sbcts_Rcrdngs[Recording]=Rcrdngs[[#This Row],[Text]],"[no subject selected in Subjects_in_Recordings]"))</f>
        <v>Voice Message</v>
      </c>
      <c r="D39" s="25">
        <v>45018</v>
      </c>
      <c r="E39" s="26" t="s">
        <v>716</v>
      </c>
      <c r="F39" s="27" t="s">
        <v>604</v>
      </c>
      <c r="G39" s="27" t="s">
        <v>605</v>
      </c>
      <c r="H39" s="27"/>
      <c r="I39" s="6"/>
      <c r="J39" s="6"/>
      <c r="K39" s="6"/>
      <c r="L39" s="6"/>
      <c r="M39" s="6"/>
      <c r="N39" s="6"/>
      <c r="O39" s="27" t="s">
        <v>685</v>
      </c>
      <c r="P39" s="34"/>
      <c r="Q39" s="28" t="s">
        <v>717</v>
      </c>
      <c r="R39" s="29"/>
    </row>
    <row r="40" spans="1:18" ht="17.25" customHeight="1">
      <c r="A40" s="35" t="s">
        <v>718</v>
      </c>
      <c r="B40" s="23" t="str" cm="1">
        <f t="array" ref="B40">_xlfn.TEXTJOIN(", ", TRUE(), _xlfn._xlws.FILTER(Spkrs_Rcrdngs[Speaker],Spkrs_Rcrdngs[Recording]=Rcrdngs[[#This Row],[Text]],"[no speaker selected in Speakers_in_Recordings]"))</f>
        <v>Syria08</v>
      </c>
      <c r="C40" s="24" t="str" cm="1">
        <f t="array" ref="C40">_xlfn.TEXTJOIN(", ", TRUE(), _xlfn._xlws.FILTER(Sbcts_Rcrdngs[Subject],Sbcts_Rcrdngs[Recording]=Rcrdngs[[#This Row],[Text]],"[no subject selected in Subjects_in_Recordings]"))</f>
        <v>Consent</v>
      </c>
      <c r="D40" s="25">
        <v>45019</v>
      </c>
      <c r="E40" s="26" t="s">
        <v>719</v>
      </c>
      <c r="F40" s="27" t="s">
        <v>604</v>
      </c>
      <c r="G40" s="27" t="s">
        <v>605</v>
      </c>
      <c r="H40" s="27"/>
      <c r="I40" s="6"/>
      <c r="J40" s="6"/>
      <c r="K40" s="6"/>
      <c r="L40" s="6"/>
      <c r="M40" s="6"/>
      <c r="N40" s="6"/>
      <c r="O40" s="27" t="s">
        <v>685</v>
      </c>
      <c r="P40" s="34"/>
      <c r="Q40" s="28" t="s">
        <v>720</v>
      </c>
      <c r="R40" s="29"/>
    </row>
    <row r="41" spans="1:18" ht="17.25" customHeight="1">
      <c r="A41" s="35" t="s">
        <v>721</v>
      </c>
      <c r="B41" s="23" t="str" cm="1">
        <f t="array" ref="B41">_xlfn.TEXTJOIN(", ", TRUE(), _xlfn._xlws.FILTER(Spkrs_Rcrdngs[Speaker],Spkrs_Rcrdngs[Recording]=Rcrdngs[[#This Row],[Text]],"[no speaker selected in Speakers_in_Recordings]"))</f>
        <v>Syria09</v>
      </c>
      <c r="C41" s="24" t="str" cm="1">
        <f t="array" ref="C41">_xlfn.TEXTJOIN(", ", TRUE(), _xlfn._xlws.FILTER(Sbcts_Rcrdngs[Subject],Sbcts_Rcrdngs[Recording]=Rcrdngs[[#This Row],[Text]],"[no subject selected in Subjects_in_Recordings]"))</f>
        <v>Consent</v>
      </c>
      <c r="D41" s="25">
        <v>45019</v>
      </c>
      <c r="E41" s="26" t="s">
        <v>722</v>
      </c>
      <c r="F41" s="27" t="s">
        <v>604</v>
      </c>
      <c r="G41" s="27" t="s">
        <v>605</v>
      </c>
      <c r="H41" s="27"/>
      <c r="I41" s="6"/>
      <c r="J41" s="6"/>
      <c r="K41" s="6"/>
      <c r="L41" s="6"/>
      <c r="M41" s="6"/>
      <c r="N41" s="6"/>
      <c r="O41" s="27" t="s">
        <v>685</v>
      </c>
      <c r="P41" s="34"/>
      <c r="Q41" s="28" t="s">
        <v>723</v>
      </c>
      <c r="R41" s="29"/>
    </row>
    <row r="42" spans="1:18" ht="17.25" customHeight="1">
      <c r="A42" s="30" t="s">
        <v>724</v>
      </c>
      <c r="B42" s="23" t="str" cm="1">
        <f t="array" ref="B42">_xlfn.TEXTJOIN(", ", TRUE(), _xlfn._xlws.FILTER(Spkrs_Rcrdngs[Speaker],Spkrs_Rcrdngs[Recording]=Rcrdngs[[#This Row],[Text]],"[no speaker selected in Speakers_in_Recordings]"))</f>
        <v>Syria01, Syria08, Syria09</v>
      </c>
      <c r="C42" s="24" t="str" cm="1">
        <f t="array" ref="C42">_xlfn.TEXTJOIN(", ", TRUE(), _xlfn._xlws.FILTER(Sbcts_Rcrdngs[Subject],Sbcts_Rcrdngs[Recording]=Rcrdngs[[#This Row],[Text]],"[no subject selected in Subjects_in_Recordings]"))</f>
        <v>Personal Life, Generosity, Tribes, Sheep, Seasonal Crop, Horses</v>
      </c>
      <c r="D42" s="25">
        <v>45019</v>
      </c>
      <c r="E42" s="26" t="s">
        <v>725</v>
      </c>
      <c r="F42" s="27" t="s">
        <v>604</v>
      </c>
      <c r="G42" s="27" t="s">
        <v>605</v>
      </c>
      <c r="H42" s="27"/>
      <c r="I42" s="6"/>
      <c r="J42" s="6"/>
      <c r="K42" s="6"/>
      <c r="L42" s="6"/>
      <c r="M42" s="6"/>
      <c r="N42" s="6"/>
      <c r="O42" s="27" t="s">
        <v>685</v>
      </c>
      <c r="P42" s="34"/>
      <c r="Q42" s="34" t="s">
        <v>726</v>
      </c>
      <c r="R42" s="29"/>
    </row>
    <row r="43" spans="1:18" ht="17.25" customHeight="1">
      <c r="A43" s="35" t="s">
        <v>727</v>
      </c>
      <c r="B43" s="23" t="str" cm="1">
        <f t="array" ref="B43">_xlfn.TEXTJOIN(", ", TRUE(), _xlfn._xlws.FILTER(Spkrs_Rcrdngs[Speaker],Spkrs_Rcrdngs[Recording]=Rcrdngs[[#This Row],[Text]],"[no speaker selected in Speakers_in_Recordings]"))</f>
        <v>Syria08</v>
      </c>
      <c r="C43" s="24" t="str" cm="1">
        <f t="array" ref="C43">_xlfn.TEXTJOIN(", ", TRUE(), _xlfn._xlws.FILTER(Sbcts_Rcrdngs[Subject],Sbcts_Rcrdngs[Recording]=Rcrdngs[[#This Row],[Text]],"[no subject selected in Subjects_in_Recordings]"))</f>
        <v>Voice Message</v>
      </c>
      <c r="D43" s="25">
        <v>45026</v>
      </c>
      <c r="E43" s="26" t="s">
        <v>722</v>
      </c>
      <c r="F43" s="27" t="s">
        <v>604</v>
      </c>
      <c r="G43" s="27" t="s">
        <v>605</v>
      </c>
      <c r="H43" s="27"/>
      <c r="I43" s="6"/>
      <c r="J43" s="6"/>
      <c r="K43" s="6"/>
      <c r="L43" s="6"/>
      <c r="M43" s="6"/>
      <c r="N43" s="6"/>
      <c r="O43" s="27" t="s">
        <v>685</v>
      </c>
      <c r="P43" s="34"/>
      <c r="Q43" s="28" t="s">
        <v>728</v>
      </c>
      <c r="R43" s="29"/>
    </row>
    <row r="44" spans="1:18" ht="17.25" customHeight="1">
      <c r="A44" s="35" t="s">
        <v>729</v>
      </c>
      <c r="B44" s="23" t="str" cm="1">
        <f t="array" ref="B44">_xlfn.TEXTJOIN(", ", TRUE(), _xlfn._xlws.FILTER(Spkrs_Rcrdngs[Speaker],Spkrs_Rcrdngs[Recording]=Rcrdngs[[#This Row],[Text]],"[no speaker selected in Speakers_in_Recordings]"))</f>
        <v>Syria08</v>
      </c>
      <c r="C44" s="24" t="str" cm="1">
        <f t="array" ref="C44">_xlfn.TEXTJOIN(", ", TRUE(), _xlfn._xlws.FILTER(Sbcts_Rcrdngs[Subject],Sbcts_Rcrdngs[Recording]=Rcrdngs[[#This Row],[Text]],"[no subject selected in Subjects_in_Recordings]"))</f>
        <v>Stealing Watermelon, Fights among Tribes, Getting Lost</v>
      </c>
      <c r="D44" s="25">
        <v>45028</v>
      </c>
      <c r="E44" s="26" t="s">
        <v>730</v>
      </c>
      <c r="F44" s="27" t="s">
        <v>604</v>
      </c>
      <c r="G44" s="27" t="s">
        <v>605</v>
      </c>
      <c r="H44" s="27"/>
      <c r="I44" s="6"/>
      <c r="J44" s="6"/>
      <c r="K44" s="6"/>
      <c r="L44" s="6"/>
      <c r="M44" s="6"/>
      <c r="N44" s="6"/>
      <c r="O44" s="27" t="s">
        <v>685</v>
      </c>
      <c r="P44" s="34"/>
      <c r="Q44" s="28" t="s">
        <v>731</v>
      </c>
      <c r="R44" s="29"/>
    </row>
    <row r="45" spans="1:18" ht="17.25" customHeight="1">
      <c r="A45" s="35" t="s">
        <v>732</v>
      </c>
      <c r="B45" s="23" t="str" cm="1">
        <f t="array" ref="B45">_xlfn.TEXTJOIN(", ", TRUE(), _xlfn._xlws.FILTER(Spkrs_Rcrdngs[Speaker],Spkrs_Rcrdngs[Recording]=Rcrdngs[[#This Row],[Text]],"[no speaker selected in Speakers_in_Recordings]"))</f>
        <v>Syria08</v>
      </c>
      <c r="C45" s="24" t="str" cm="1">
        <f t="array" ref="C45">_xlfn.TEXTJOIN(", ", TRUE(), _xlfn._xlws.FILTER(Sbcts_Rcrdngs[Subject],Sbcts_Rcrdngs[Recording]=Rcrdngs[[#This Row],[Text]],"[no subject selected in Subjects_in_Recordings]"))</f>
        <v>Studying for School</v>
      </c>
      <c r="D45" s="25">
        <v>45028</v>
      </c>
      <c r="E45" s="26" t="s">
        <v>733</v>
      </c>
      <c r="F45" s="27" t="s">
        <v>604</v>
      </c>
      <c r="G45" s="27" t="s">
        <v>605</v>
      </c>
      <c r="H45" s="27" t="s">
        <v>604</v>
      </c>
      <c r="I45" s="6"/>
      <c r="J45" s="6"/>
      <c r="K45" s="6"/>
      <c r="L45" s="6"/>
      <c r="M45" s="6"/>
      <c r="N45" s="6"/>
      <c r="O45" s="27" t="s">
        <v>685</v>
      </c>
      <c r="P45" s="34"/>
      <c r="Q45" s="28" t="s">
        <v>734</v>
      </c>
      <c r="R45" s="29"/>
    </row>
    <row r="46" spans="1:18" ht="17.25" customHeight="1">
      <c r="A46" s="30" t="s">
        <v>735</v>
      </c>
      <c r="B46" s="23" t="str" cm="1">
        <f t="array" ref="B46">_xlfn.TEXTJOIN(", ", TRUE(), _xlfn._xlws.FILTER(Spkrs_Rcrdngs[Speaker],Spkrs_Rcrdngs[Recording]=Rcrdngs[[#This Row],[Text]],"[no speaker selected in Speakers_in_Recordings]"))</f>
        <v>Syria08</v>
      </c>
      <c r="C46" s="24" t="str" cm="1">
        <f t="array" ref="C46">_xlfn.TEXTJOIN(", ", TRUE(), _xlfn._xlws.FILTER(Sbcts_Rcrdngs[Subject],Sbcts_Rcrdngs[Recording]=Rcrdngs[[#This Row],[Text]],"[no subject selected in Subjects_in_Recordings]"))</f>
        <v>Cheating, Moving to Lebanon</v>
      </c>
      <c r="D46" s="25">
        <v>45028</v>
      </c>
      <c r="E46" s="26" t="s">
        <v>736</v>
      </c>
      <c r="F46" s="27" t="s">
        <v>604</v>
      </c>
      <c r="G46" s="27" t="s">
        <v>605</v>
      </c>
      <c r="H46" s="27" t="s">
        <v>604</v>
      </c>
      <c r="I46" s="6"/>
      <c r="J46" s="6"/>
      <c r="K46" s="6"/>
      <c r="L46" s="6"/>
      <c r="M46" s="6"/>
      <c r="N46" s="6"/>
      <c r="O46" s="27" t="s">
        <v>685</v>
      </c>
      <c r="P46" s="34"/>
      <c r="Q46" s="34" t="s">
        <v>737</v>
      </c>
      <c r="R46" s="29"/>
    </row>
    <row r="47" spans="1:18" ht="17.25" customHeight="1">
      <c r="A47" s="35" t="s">
        <v>738</v>
      </c>
      <c r="B47" s="23" t="str" cm="1">
        <f t="array" ref="B47">_xlfn.TEXTJOIN(", ", TRUE(), _xlfn._xlws.FILTER(Spkrs_Rcrdngs[Speaker],Spkrs_Rcrdngs[Recording]=Rcrdngs[[#This Row],[Text]],"[no speaker selected in Speakers_in_Recordings]"))</f>
        <v>Syria08</v>
      </c>
      <c r="C47" s="24" t="str" cm="1">
        <f t="array" ref="C47">_xlfn.TEXTJOIN(", ", TRUE(), _xlfn._xlws.FILTER(Sbcts_Rcrdngs[Subject],Sbcts_Rcrdngs[Recording]=Rcrdngs[[#This Row],[Text]],"[no subject selected in Subjects_in_Recordings]"))</f>
        <v>Bike</v>
      </c>
      <c r="D47" s="25">
        <v>45028</v>
      </c>
      <c r="E47" s="26" t="s">
        <v>739</v>
      </c>
      <c r="F47" s="27" t="s">
        <v>604</v>
      </c>
      <c r="G47" s="27" t="s">
        <v>605</v>
      </c>
      <c r="H47" s="27" t="s">
        <v>606</v>
      </c>
      <c r="I47" s="6"/>
      <c r="J47" s="6"/>
      <c r="K47" s="6"/>
      <c r="L47" s="6"/>
      <c r="M47" s="6"/>
      <c r="N47" s="6"/>
      <c r="O47" s="27" t="s">
        <v>685</v>
      </c>
      <c r="P47" s="34"/>
      <c r="Q47" s="28" t="s">
        <v>740</v>
      </c>
      <c r="R47" s="29"/>
    </row>
    <row r="48" spans="1:18" ht="17.25" customHeight="1">
      <c r="A48" s="35" t="s">
        <v>741</v>
      </c>
      <c r="B48" s="23" t="str" cm="1">
        <f t="array" ref="B48">_xlfn.TEXTJOIN(", ", TRUE(), _xlfn._xlws.FILTER(Spkrs_Rcrdngs[Speaker],Spkrs_Rcrdngs[Recording]=Rcrdngs[[#This Row],[Text]],"[no speaker selected in Speakers_in_Recordings]"))</f>
        <v>Syria08</v>
      </c>
      <c r="C48" s="24" t="str" cm="1">
        <f t="array" ref="C48">_xlfn.TEXTJOIN(", ", TRUE(), _xlfn._xlws.FILTER(Sbcts_Rcrdngs[Subject],Sbcts_Rcrdngs[Recording]=Rcrdngs[[#This Row],[Text]],"[no subject selected in Subjects_in_Recordings]"))</f>
        <v>Voice Message</v>
      </c>
      <c r="D48" s="25">
        <v>45034</v>
      </c>
      <c r="E48" s="26" t="s">
        <v>742</v>
      </c>
      <c r="F48" s="27" t="s">
        <v>604</v>
      </c>
      <c r="G48" s="27" t="s">
        <v>605</v>
      </c>
      <c r="H48" s="27" t="s">
        <v>606</v>
      </c>
      <c r="I48" s="6"/>
      <c r="J48" s="6"/>
      <c r="K48" s="6"/>
      <c r="L48" s="6"/>
      <c r="M48" s="6"/>
      <c r="N48" s="6"/>
      <c r="O48" s="27" t="s">
        <v>685</v>
      </c>
      <c r="P48" s="34"/>
      <c r="Q48" s="28" t="s">
        <v>743</v>
      </c>
      <c r="R48" s="29"/>
    </row>
    <row r="49" spans="1:18" ht="17.25" customHeight="1">
      <c r="A49" s="35" t="s">
        <v>744</v>
      </c>
      <c r="B49" s="23" t="str" cm="1">
        <f t="array" ref="B49">_xlfn.TEXTJOIN(", ", TRUE(), _xlfn._xlws.FILTER(Spkrs_Rcrdngs[Speaker],Spkrs_Rcrdngs[Recording]=Rcrdngs[[#This Row],[Text]],"[no speaker selected in Speakers_in_Recordings]"))</f>
        <v>Syria08</v>
      </c>
      <c r="C49" s="24" t="str" cm="1">
        <f t="array" ref="C49">_xlfn.TEXTJOIN(", ", TRUE(), _xlfn._xlws.FILTER(Sbcts_Rcrdngs[Subject],Sbcts_Rcrdngs[Recording]=Rcrdngs[[#This Row],[Text]],"[no subject selected in Subjects_in_Recordings]"))</f>
        <v>Moving to Saudi Arabia</v>
      </c>
      <c r="D49" s="25">
        <v>45035</v>
      </c>
      <c r="E49" s="26" t="s">
        <v>745</v>
      </c>
      <c r="F49" s="27" t="s">
        <v>604</v>
      </c>
      <c r="G49" s="27" t="s">
        <v>605</v>
      </c>
      <c r="H49" s="27"/>
      <c r="I49" s="6"/>
      <c r="J49" s="6"/>
      <c r="K49" s="6"/>
      <c r="L49" s="6"/>
      <c r="M49" s="6"/>
      <c r="N49" s="6"/>
      <c r="O49" s="27" t="s">
        <v>685</v>
      </c>
      <c r="P49" s="34"/>
      <c r="Q49" s="28" t="s">
        <v>746</v>
      </c>
      <c r="R49" s="29"/>
    </row>
    <row r="50" spans="1:18" ht="17.25" customHeight="1">
      <c r="A50" s="35" t="s">
        <v>747</v>
      </c>
      <c r="B50" s="23" t="str" cm="1">
        <f t="array" ref="B50">_xlfn.TEXTJOIN(", ", TRUE(), _xlfn._xlws.FILTER(Spkrs_Rcrdngs[Speaker],Spkrs_Rcrdngs[Recording]=Rcrdngs[[#This Row],[Text]],"[no speaker selected in Speakers_in_Recordings]"))</f>
        <v>Syria08</v>
      </c>
      <c r="C50" s="24" t="str" cm="1">
        <f t="array" ref="C50">_xlfn.TEXTJOIN(", ", TRUE(), _xlfn._xlws.FILTER(Sbcts_Rcrdngs[Subject],Sbcts_Rcrdngs[Recording]=Rcrdngs[[#This Row],[Text]],"[no subject selected in Subjects_in_Recordings]"))</f>
        <v>Trying Business, Reaching Austria</v>
      </c>
      <c r="D50" s="25">
        <v>45035</v>
      </c>
      <c r="E50" s="26" t="s">
        <v>748</v>
      </c>
      <c r="F50" s="27" t="s">
        <v>604</v>
      </c>
      <c r="G50" s="27" t="s">
        <v>605</v>
      </c>
      <c r="H50" s="27"/>
      <c r="I50" s="6"/>
      <c r="J50" s="6"/>
      <c r="K50" s="6"/>
      <c r="L50" s="6"/>
      <c r="M50" s="6"/>
      <c r="N50" s="6"/>
      <c r="O50" s="27" t="s">
        <v>685</v>
      </c>
      <c r="P50" s="34"/>
      <c r="Q50" s="28" t="s">
        <v>749</v>
      </c>
      <c r="R50" s="29"/>
    </row>
    <row r="51" spans="1:18" ht="17.25" customHeight="1">
      <c r="A51" s="35" t="s">
        <v>750</v>
      </c>
      <c r="B51" s="23" t="str" cm="1">
        <f t="array" ref="B51">_xlfn.TEXTJOIN(", ", TRUE(), _xlfn._xlws.FILTER(Spkrs_Rcrdngs[Speaker],Spkrs_Rcrdngs[Recording]=Rcrdngs[[#This Row],[Text]],"[no speaker selected in Speakers_in_Recordings]"))</f>
        <v>Syria08</v>
      </c>
      <c r="C51" s="24" t="str" cm="1">
        <f t="array" ref="C51">_xlfn.TEXTJOIN(", ", TRUE(), _xlfn._xlws.FILTER(Sbcts_Rcrdngs[Subject],Sbcts_Rcrdngs[Recording]=Rcrdngs[[#This Row],[Text]],"[no subject selected in Subjects_in_Recordings]"))</f>
        <v>To Europe</v>
      </c>
      <c r="D51" s="25">
        <v>45035</v>
      </c>
      <c r="E51" s="26" t="s">
        <v>751</v>
      </c>
      <c r="F51" s="27" t="s">
        <v>604</v>
      </c>
      <c r="G51" s="27" t="s">
        <v>605</v>
      </c>
      <c r="H51" s="27"/>
      <c r="I51" s="6"/>
      <c r="J51" s="6"/>
      <c r="K51" s="6"/>
      <c r="L51" s="6"/>
      <c r="M51" s="6"/>
      <c r="N51" s="6"/>
      <c r="O51" s="27" t="s">
        <v>685</v>
      </c>
      <c r="P51" s="34"/>
      <c r="Q51" s="28" t="s">
        <v>752</v>
      </c>
      <c r="R51" s="29"/>
    </row>
    <row r="52" spans="1:18" ht="17.25" customHeight="1">
      <c r="A52" s="35" t="s">
        <v>753</v>
      </c>
      <c r="B52" s="23" t="str" cm="1">
        <f t="array" ref="B52">_xlfn.TEXTJOIN(", ", TRUE(), _xlfn._xlws.FILTER(Spkrs_Rcrdngs[Speaker],Spkrs_Rcrdngs[Recording]=Rcrdngs[[#This Row],[Text]],"[no speaker selected in Speakers_in_Recordings]"))</f>
        <v>Syria08</v>
      </c>
      <c r="C52" s="24" t="str" cm="1">
        <f t="array" ref="C52">_xlfn.TEXTJOIN(", ", TRUE(), _xlfn._xlws.FILTER(Sbcts_Rcrdngs[Subject],Sbcts_Rcrdngs[Recording]=Rcrdngs[[#This Row],[Text]],"[no subject selected in Subjects_in_Recordings]"))</f>
        <v>Voice Message</v>
      </c>
      <c r="D52" s="25">
        <v>45036</v>
      </c>
      <c r="E52" s="26" t="s">
        <v>754</v>
      </c>
      <c r="F52" s="27" t="s">
        <v>604</v>
      </c>
      <c r="G52" s="27" t="s">
        <v>605</v>
      </c>
      <c r="H52" s="27" t="s">
        <v>606</v>
      </c>
      <c r="I52" s="6"/>
      <c r="J52" s="6"/>
      <c r="K52" s="6"/>
      <c r="L52" s="6"/>
      <c r="M52" s="6"/>
      <c r="N52" s="6"/>
      <c r="O52" s="27" t="s">
        <v>685</v>
      </c>
      <c r="P52" s="34"/>
      <c r="Q52" s="28" t="s">
        <v>755</v>
      </c>
      <c r="R52" s="29"/>
    </row>
    <row r="53" spans="1:18" ht="17.25" customHeight="1">
      <c r="A53" s="35" t="s">
        <v>756</v>
      </c>
      <c r="B53" s="23" t="str" cm="1">
        <f t="array" ref="B53">_xlfn.TEXTJOIN(", ", TRUE(), _xlfn._xlws.FILTER(Spkrs_Rcrdngs[Speaker],Spkrs_Rcrdngs[Recording]=Rcrdngs[[#This Row],[Text]],"[no speaker selected in Speakers_in_Recordings]"))</f>
        <v>Syria08</v>
      </c>
      <c r="C53" s="24" t="str" cm="1">
        <f t="array" ref="C53">_xlfn.TEXTJOIN(", ", TRUE(), _xlfn._xlws.FILTER(Sbcts_Rcrdngs[Subject],Sbcts_Rcrdngs[Recording]=Rcrdngs[[#This Row],[Text]],"[no subject selected in Subjects_in_Recordings]"))</f>
        <v>Voice Message</v>
      </c>
      <c r="D53" s="25">
        <v>45040</v>
      </c>
      <c r="E53" s="26" t="s">
        <v>757</v>
      </c>
      <c r="F53" s="27" t="s">
        <v>604</v>
      </c>
      <c r="G53" s="27" t="s">
        <v>605</v>
      </c>
      <c r="H53" s="27" t="s">
        <v>606</v>
      </c>
      <c r="I53" s="6"/>
      <c r="J53" s="6"/>
      <c r="K53" s="6"/>
      <c r="L53" s="6"/>
      <c r="M53" s="6"/>
      <c r="N53" s="6"/>
      <c r="O53" s="27" t="s">
        <v>685</v>
      </c>
      <c r="P53" s="34"/>
      <c r="Q53" s="28" t="s">
        <v>758</v>
      </c>
      <c r="R53" s="29"/>
    </row>
    <row r="54" spans="1:18" ht="17.25" customHeight="1">
      <c r="A54" s="30" t="s">
        <v>759</v>
      </c>
      <c r="B54" s="23" t="str" cm="1">
        <f t="array" ref="B54">_xlfn.TEXTJOIN(", ", TRUE(), _xlfn._xlws.FILTER(Spkrs_Rcrdngs[Speaker],Spkrs_Rcrdngs[Recording]=Rcrdngs[[#This Row],[Text]],"[no speaker selected in Speakers_in_Recordings]"))</f>
        <v>Syria08</v>
      </c>
      <c r="C54" s="24" t="str" cm="1">
        <f t="array" ref="C54">_xlfn.TEXTJOIN(", ", TRUE(), _xlfn._xlws.FILTER(Sbcts_Rcrdngs[Subject],Sbcts_Rcrdngs[Recording]=Rcrdngs[[#This Row],[Text]],"[no subject selected in Subjects_in_Recordings]"))</f>
        <v>Unlucky Day</v>
      </c>
      <c r="D54" s="25">
        <v>45041</v>
      </c>
      <c r="E54" s="26" t="s">
        <v>760</v>
      </c>
      <c r="F54" s="27" t="s">
        <v>604</v>
      </c>
      <c r="G54" s="27" t="s">
        <v>605</v>
      </c>
      <c r="H54" s="27"/>
      <c r="I54" s="6"/>
      <c r="J54" s="6"/>
      <c r="K54" s="6"/>
      <c r="L54" s="6"/>
      <c r="M54" s="6"/>
      <c r="N54" s="6"/>
      <c r="O54" s="27" t="s">
        <v>685</v>
      </c>
      <c r="P54" s="34"/>
      <c r="Q54" s="34" t="s">
        <v>761</v>
      </c>
      <c r="R54" s="29"/>
    </row>
    <row r="55" spans="1:18" ht="17.25" customHeight="1">
      <c r="A55" s="35" t="s">
        <v>762</v>
      </c>
      <c r="B55" s="23" t="str" cm="1">
        <f t="array" ref="B55">_xlfn.TEXTJOIN(", ", TRUE(), _xlfn._xlws.FILTER(Spkrs_Rcrdngs[Speaker],Spkrs_Rcrdngs[Recording]=Rcrdngs[[#This Row],[Text]],"[no speaker selected in Speakers_in_Recordings]"))</f>
        <v>Syria08</v>
      </c>
      <c r="C55" s="24" t="str" cm="1">
        <f t="array" ref="C55">_xlfn.TEXTJOIN(", ", TRUE(), _xlfn._xlws.FILTER(Sbcts_Rcrdngs[Subject],Sbcts_Rcrdngs[Recording]=Rcrdngs[[#This Row],[Text]],"[no subject selected in Subjects_in_Recordings]"))</f>
        <v>A Friend's Marriage</v>
      </c>
      <c r="D55" s="25">
        <v>45041</v>
      </c>
      <c r="E55" s="26" t="s">
        <v>763</v>
      </c>
      <c r="F55" s="27" t="s">
        <v>604</v>
      </c>
      <c r="G55" s="27" t="s">
        <v>605</v>
      </c>
      <c r="H55" s="27"/>
      <c r="I55" s="6"/>
      <c r="J55" s="6"/>
      <c r="K55" s="6"/>
      <c r="L55" s="6"/>
      <c r="M55" s="6"/>
      <c r="N55" s="6"/>
      <c r="O55" s="27" t="s">
        <v>685</v>
      </c>
      <c r="P55" s="34"/>
      <c r="Q55" s="28" t="s">
        <v>764</v>
      </c>
      <c r="R55" s="29"/>
    </row>
    <row r="56" spans="1:18" ht="17.25" customHeight="1">
      <c r="A56" s="30" t="s">
        <v>765</v>
      </c>
      <c r="B56" s="23" t="str" cm="1">
        <f t="array" ref="B56">_xlfn.TEXTJOIN(", ", TRUE(), _xlfn._xlws.FILTER(Spkrs_Rcrdngs[Speaker],Spkrs_Rcrdngs[Recording]=Rcrdngs[[#This Row],[Text]],"[no speaker selected in Speakers_in_Recordings]"))</f>
        <v>Syria08</v>
      </c>
      <c r="C56" s="24" t="str" cm="1">
        <f t="array" ref="C56">_xlfn.TEXTJOIN(", ", TRUE(), _xlfn._xlws.FILTER(Sbcts_Rcrdngs[Subject],Sbcts_Rcrdngs[Recording]=Rcrdngs[[#This Row],[Text]],"[no subject selected in Subjects_in_Recordings]"))</f>
        <v>Doing Business</v>
      </c>
      <c r="D56" s="25">
        <v>45041</v>
      </c>
      <c r="E56" s="26" t="s">
        <v>766</v>
      </c>
      <c r="F56" s="27" t="s">
        <v>604</v>
      </c>
      <c r="G56" s="27" t="s">
        <v>605</v>
      </c>
      <c r="H56" s="27"/>
      <c r="I56" s="6"/>
      <c r="J56" s="6"/>
      <c r="K56" s="6"/>
      <c r="L56" s="6"/>
      <c r="M56" s="6"/>
      <c r="N56" s="6"/>
      <c r="O56" s="27" t="s">
        <v>685</v>
      </c>
      <c r="P56" s="34"/>
      <c r="Q56" s="34" t="s">
        <v>767</v>
      </c>
      <c r="R56" s="29"/>
    </row>
    <row r="57" spans="1:18" ht="17.25" customHeight="1">
      <c r="A57" s="35" t="s">
        <v>768</v>
      </c>
      <c r="B57" s="23" t="str" cm="1">
        <f t="array" ref="B57">_xlfn.TEXTJOIN(", ", TRUE(), _xlfn._xlws.FILTER(Spkrs_Rcrdngs[Speaker],Spkrs_Rcrdngs[Recording]=Rcrdngs[[#This Row],[Text]],"[no speaker selected in Speakers_in_Recordings]"))</f>
        <v>Syria08</v>
      </c>
      <c r="C57" s="24" t="str" cm="1">
        <f t="array" ref="C57">_xlfn.TEXTJOIN(", ", TRUE(), _xlfn._xlws.FILTER(Sbcts_Rcrdngs[Subject],Sbcts_Rcrdngs[Recording]=Rcrdngs[[#This Row],[Text]],"[no subject selected in Subjects_in_Recordings]"))</f>
        <v>Voice Message</v>
      </c>
      <c r="D57" s="25">
        <v>45048</v>
      </c>
      <c r="E57" s="26" t="s">
        <v>769</v>
      </c>
      <c r="F57" s="27" t="s">
        <v>604</v>
      </c>
      <c r="G57" s="27" t="s">
        <v>605</v>
      </c>
      <c r="H57" s="27" t="s">
        <v>606</v>
      </c>
      <c r="I57" s="6"/>
      <c r="J57" s="6"/>
      <c r="K57" s="6"/>
      <c r="L57" s="6"/>
      <c r="M57" s="6"/>
      <c r="N57" s="6"/>
      <c r="O57" s="27" t="s">
        <v>685</v>
      </c>
      <c r="P57" s="34"/>
      <c r="Q57" s="28" t="s">
        <v>770</v>
      </c>
      <c r="R57" s="29"/>
    </row>
    <row r="58" spans="1:18" ht="17.25" customHeight="1">
      <c r="A58" s="35" t="s">
        <v>771</v>
      </c>
      <c r="B58" s="23" t="str" cm="1">
        <f t="array" ref="B58">_xlfn.TEXTJOIN(", ", TRUE(), _xlfn._xlws.FILTER(Spkrs_Rcrdngs[Speaker],Spkrs_Rcrdngs[Recording]=Rcrdngs[[#This Row],[Text]],"[no speaker selected in Speakers_in_Recordings]"))</f>
        <v>Syria08</v>
      </c>
      <c r="C58" s="24" t="str" cm="1">
        <f t="array" ref="C58">_xlfn.TEXTJOIN(", ", TRUE(), _xlfn._xlws.FILTER(Sbcts_Rcrdngs[Subject],Sbcts_Rcrdngs[Recording]=Rcrdngs[[#This Row],[Text]],"[no subject selected in Subjects_in_Recordings]"))</f>
        <v>Voice Message</v>
      </c>
      <c r="D58" s="25">
        <v>45058</v>
      </c>
      <c r="E58" s="26" t="s">
        <v>772</v>
      </c>
      <c r="F58" s="27" t="s">
        <v>604</v>
      </c>
      <c r="G58" s="27" t="s">
        <v>605</v>
      </c>
      <c r="H58" s="27" t="s">
        <v>606</v>
      </c>
      <c r="I58" s="6"/>
      <c r="J58" s="6"/>
      <c r="K58" s="6"/>
      <c r="L58" s="6"/>
      <c r="M58" s="6"/>
      <c r="N58" s="6"/>
      <c r="O58" s="27" t="s">
        <v>685</v>
      </c>
      <c r="P58" s="34"/>
      <c r="Q58" s="28" t="s">
        <v>773</v>
      </c>
      <c r="R58" s="29"/>
    </row>
    <row r="59" spans="1:18" ht="17.25" customHeight="1">
      <c r="A59" s="35" t="s">
        <v>774</v>
      </c>
      <c r="B59" s="23" t="str" cm="1">
        <f t="array" ref="B59">_xlfn.TEXTJOIN(", ", TRUE(), _xlfn._xlws.FILTER(Spkrs_Rcrdngs[Speaker],Spkrs_Rcrdngs[Recording]=Rcrdngs[[#This Row],[Text]],"[no speaker selected in Speakers_in_Recordings]"))</f>
        <v>Syria08</v>
      </c>
      <c r="C59" s="24" t="str" cm="1">
        <f t="array" ref="C59">_xlfn.TEXTJOIN(", ", TRUE(), _xlfn._xlws.FILTER(Sbcts_Rcrdngs[Subject],Sbcts_Rcrdngs[Recording]=Rcrdngs[[#This Row],[Text]],"[no subject selected in Subjects_in_Recordings]"))</f>
        <v>Harvesting</v>
      </c>
      <c r="D59" s="25">
        <v>45059</v>
      </c>
      <c r="E59" s="26" t="s">
        <v>775</v>
      </c>
      <c r="F59" s="27" t="s">
        <v>604</v>
      </c>
      <c r="G59" s="27" t="s">
        <v>605</v>
      </c>
      <c r="H59" s="27"/>
      <c r="I59" s="6"/>
      <c r="J59" s="6"/>
      <c r="K59" s="6"/>
      <c r="L59" s="6"/>
      <c r="M59" s="6"/>
      <c r="N59" s="6"/>
      <c r="O59" s="27" t="s">
        <v>685</v>
      </c>
      <c r="P59" s="34"/>
      <c r="Q59" s="28" t="s">
        <v>776</v>
      </c>
      <c r="R59" s="29"/>
    </row>
    <row r="60" spans="1:18" ht="17.25" customHeight="1">
      <c r="A60" s="35" t="s">
        <v>777</v>
      </c>
      <c r="B60" s="23" t="str" cm="1">
        <f t="array" ref="B60">_xlfn.TEXTJOIN(", ", TRUE(), _xlfn._xlws.FILTER(Spkrs_Rcrdngs[Speaker],Spkrs_Rcrdngs[Recording]=Rcrdngs[[#This Row],[Text]],"[no speaker selected in Speakers_in_Recordings]"))</f>
        <v>Syria08</v>
      </c>
      <c r="C60" s="24" t="str" cm="1">
        <f t="array" ref="C60">_xlfn.TEXTJOIN(", ", TRUE(), _xlfn._xlws.FILTER(Sbcts_Rcrdngs[Subject],Sbcts_Rcrdngs[Recording]=Rcrdngs[[#This Row],[Text]],"[no subject selected in Subjects_in_Recordings]"))</f>
        <v>Voice Message</v>
      </c>
      <c r="D60" s="25">
        <v>45075</v>
      </c>
      <c r="E60" s="26" t="s">
        <v>778</v>
      </c>
      <c r="F60" s="27" t="s">
        <v>604</v>
      </c>
      <c r="G60" s="27" t="s">
        <v>605</v>
      </c>
      <c r="H60" s="27" t="s">
        <v>606</v>
      </c>
      <c r="I60" s="6"/>
      <c r="J60" s="6"/>
      <c r="K60" s="6"/>
      <c r="L60" s="6"/>
      <c r="M60" s="6"/>
      <c r="N60" s="6"/>
      <c r="O60" s="27" t="s">
        <v>685</v>
      </c>
      <c r="P60" s="34"/>
      <c r="Q60" s="28" t="s">
        <v>779</v>
      </c>
      <c r="R60" s="29"/>
    </row>
    <row r="61" spans="1:18" ht="17.25" customHeight="1">
      <c r="A61" s="35" t="s">
        <v>780</v>
      </c>
      <c r="B61" s="23" t="str" cm="1">
        <f t="array" ref="B61">_xlfn.TEXTJOIN(", ", TRUE(), _xlfn._xlws.FILTER(Spkrs_Rcrdngs[Speaker],Spkrs_Rcrdngs[Recording]=Rcrdngs[[#This Row],[Text]],"[no speaker selected in Speakers_in_Recordings]"))</f>
        <v>Syria08</v>
      </c>
      <c r="C61" s="24" t="str" cm="1">
        <f t="array" ref="C61">_xlfn.TEXTJOIN(", ", TRUE(), _xlfn._xlws.FILTER(Sbcts_Rcrdngs[Subject],Sbcts_Rcrdngs[Recording]=Rcrdngs[[#This Row],[Text]],"[no subject selected in Subjects_in_Recordings]"))</f>
        <v xml:space="preserve">Marriage Prank </v>
      </c>
      <c r="D61" s="25">
        <v>45076</v>
      </c>
      <c r="E61" s="26" t="s">
        <v>781</v>
      </c>
      <c r="F61" s="27" t="s">
        <v>604</v>
      </c>
      <c r="G61" s="27" t="s">
        <v>605</v>
      </c>
      <c r="H61" s="27"/>
      <c r="I61" s="6"/>
      <c r="J61" s="6"/>
      <c r="K61" s="6"/>
      <c r="L61" s="6"/>
      <c r="M61" s="6"/>
      <c r="N61" s="6"/>
      <c r="O61" s="27" t="s">
        <v>685</v>
      </c>
      <c r="P61" s="28"/>
      <c r="Q61" s="28" t="s">
        <v>782</v>
      </c>
      <c r="R61" s="29"/>
    </row>
    <row r="62" spans="1:18" ht="17.25" customHeight="1">
      <c r="A62" s="35" t="s">
        <v>783</v>
      </c>
      <c r="B62" s="23" t="str" cm="1">
        <f t="array" ref="B62">_xlfn.TEXTJOIN(", ", TRUE(), _xlfn._xlws.FILTER(Spkrs_Rcrdngs[Speaker],Spkrs_Rcrdngs[Recording]=Rcrdngs[[#This Row],[Text]],"[no speaker selected in Speakers_in_Recordings]"))</f>
        <v>Syria09</v>
      </c>
      <c r="C62" s="24" t="str" cm="1">
        <f t="array" ref="C62">_xlfn.TEXTJOIN(", ", TRUE(), _xlfn._xlws.FILTER(Sbcts_Rcrdngs[Subject],Sbcts_Rcrdngs[Recording]=Rcrdngs[[#This Row],[Text]],"[no subject selected in Subjects_in_Recordings]"))</f>
        <v>The Sheikh</v>
      </c>
      <c r="D62" s="25">
        <v>45076</v>
      </c>
      <c r="E62" s="26" t="s">
        <v>784</v>
      </c>
      <c r="F62" s="27" t="s">
        <v>604</v>
      </c>
      <c r="G62" s="27" t="s">
        <v>605</v>
      </c>
      <c r="H62" s="27" t="s">
        <v>606</v>
      </c>
      <c r="I62" s="6"/>
      <c r="J62" s="6"/>
      <c r="K62" s="6"/>
      <c r="L62" s="6"/>
      <c r="M62" s="6"/>
      <c r="N62" s="6"/>
      <c r="O62" s="27" t="s">
        <v>685</v>
      </c>
      <c r="P62" s="34"/>
      <c r="Q62" s="28" t="s">
        <v>785</v>
      </c>
      <c r="R62" s="29"/>
    </row>
    <row r="63" spans="1:18" ht="17.25" customHeight="1">
      <c r="A63" s="35" t="s">
        <v>786</v>
      </c>
      <c r="B63" s="23" t="str" cm="1">
        <f t="array" ref="B63">_xlfn.TEXTJOIN(", ", TRUE(), _xlfn._xlws.FILTER(Spkrs_Rcrdngs[Speaker],Spkrs_Rcrdngs[Recording]=Rcrdngs[[#This Row],[Text]],"[no speaker selected in Speakers_in_Recordings]"))</f>
        <v>Syria09</v>
      </c>
      <c r="C63" s="24" t="str" cm="1">
        <f t="array" ref="C63">_xlfn.TEXTJOIN(", ", TRUE(), _xlfn._xlws.FILTER(Sbcts_Rcrdngs[Subject],Sbcts_Rcrdngs[Recording]=Rcrdngs[[#This Row],[Text]],"[no subject selected in Subjects_in_Recordings]"))</f>
        <v>Short</v>
      </c>
      <c r="D63" s="25">
        <v>45076</v>
      </c>
      <c r="E63" s="26" t="s">
        <v>787</v>
      </c>
      <c r="F63" s="27" t="s">
        <v>604</v>
      </c>
      <c r="G63" s="27" t="s">
        <v>605</v>
      </c>
      <c r="H63" s="27" t="s">
        <v>606</v>
      </c>
      <c r="I63" s="6"/>
      <c r="J63" s="6"/>
      <c r="K63" s="6"/>
      <c r="L63" s="6"/>
      <c r="M63" s="6"/>
      <c r="N63" s="6"/>
      <c r="O63" s="27" t="s">
        <v>685</v>
      </c>
      <c r="P63" s="34"/>
      <c r="Q63" s="28" t="s">
        <v>788</v>
      </c>
      <c r="R63" s="29"/>
    </row>
    <row r="64" spans="1:18" ht="17.25" customHeight="1">
      <c r="A64" s="35" t="s">
        <v>789</v>
      </c>
      <c r="B64" s="23" t="str" cm="1">
        <f t="array" ref="B64">_xlfn.TEXTJOIN(", ", TRUE(), _xlfn._xlws.FILTER(Spkrs_Rcrdngs[Speaker],Spkrs_Rcrdngs[Recording]=Rcrdngs[[#This Row],[Text]],"[no speaker selected in Speakers_in_Recordings]"))</f>
        <v>Syria11</v>
      </c>
      <c r="C64" s="24" t="str" cm="1">
        <f t="array" ref="C64">_xlfn.TEXTJOIN(", ", TRUE(), _xlfn._xlws.FILTER(Sbcts_Rcrdngs[Subject],Sbcts_Rcrdngs[Recording]=Rcrdngs[[#This Row],[Text]],"[no subject selected in Subjects_in_Recordings]"))</f>
        <v>Short</v>
      </c>
      <c r="D64" s="25">
        <v>45076</v>
      </c>
      <c r="E64" s="26" t="s">
        <v>790</v>
      </c>
      <c r="F64" s="27" t="s">
        <v>604</v>
      </c>
      <c r="G64" s="27" t="s">
        <v>605</v>
      </c>
      <c r="H64" s="27" t="s">
        <v>606</v>
      </c>
      <c r="I64" s="6"/>
      <c r="J64" s="6"/>
      <c r="K64" s="6"/>
      <c r="L64" s="6"/>
      <c r="M64" s="6"/>
      <c r="N64" s="6"/>
      <c r="O64" s="27" t="s">
        <v>685</v>
      </c>
      <c r="P64" s="34"/>
      <c r="Q64" s="28" t="s">
        <v>791</v>
      </c>
      <c r="R64" s="29"/>
    </row>
    <row r="65" spans="1:18" ht="17.25" customHeight="1">
      <c r="A65" s="35" t="s">
        <v>792</v>
      </c>
      <c r="B65" s="23" t="str" cm="1">
        <f t="array" ref="B65">_xlfn.TEXTJOIN(", ", TRUE(), _xlfn._xlws.FILTER(Spkrs_Rcrdngs[Speaker],Spkrs_Rcrdngs[Recording]=Rcrdngs[[#This Row],[Text]],"[no speaker selected in Speakers_in_Recordings]"))</f>
        <v>Syria11</v>
      </c>
      <c r="C65" s="24" t="str" cm="1">
        <f t="array" ref="C65">_xlfn.TEXTJOIN(", ", TRUE(), _xlfn._xlws.FILTER(Sbcts_Rcrdngs[Subject],Sbcts_Rcrdngs[Recording]=Rcrdngs[[#This Row],[Text]],"[no subject selected in Subjects_in_Recordings]"))</f>
        <v>Short</v>
      </c>
      <c r="D65" s="25">
        <v>45076</v>
      </c>
      <c r="E65" s="26" t="s">
        <v>790</v>
      </c>
      <c r="F65" s="27" t="s">
        <v>604</v>
      </c>
      <c r="G65" s="27" t="s">
        <v>605</v>
      </c>
      <c r="H65" s="27" t="s">
        <v>606</v>
      </c>
      <c r="I65" s="6"/>
      <c r="J65" s="6"/>
      <c r="K65" s="6"/>
      <c r="L65" s="6"/>
      <c r="M65" s="6"/>
      <c r="N65" s="6"/>
      <c r="O65" s="27" t="s">
        <v>685</v>
      </c>
      <c r="P65" s="34"/>
      <c r="Q65" s="28" t="s">
        <v>793</v>
      </c>
      <c r="R65" s="29"/>
    </row>
    <row r="66" spans="1:18" ht="17.25" customHeight="1">
      <c r="A66" s="35" t="s">
        <v>794</v>
      </c>
      <c r="B66" s="23" t="str" cm="1">
        <f t="array" ref="B66">_xlfn.TEXTJOIN(", ", TRUE(), _xlfn._xlws.FILTER(Spkrs_Rcrdngs[Speaker],Spkrs_Rcrdngs[Recording]=Rcrdngs[[#This Row],[Text]],"[no speaker selected in Speakers_in_Recordings]"))</f>
        <v>Syria12</v>
      </c>
      <c r="C66" s="24" t="str" cm="1">
        <f t="array" ref="C66">_xlfn.TEXTJOIN(", ", TRUE(), _xlfn._xlws.FILTER(Sbcts_Rcrdngs[Subject],Sbcts_Rcrdngs[Recording]=Rcrdngs[[#This Row],[Text]],"[no subject selected in Subjects_in_Recordings]"))</f>
        <v>Question</v>
      </c>
      <c r="D66" s="25">
        <v>45076</v>
      </c>
      <c r="E66" s="26" t="s">
        <v>795</v>
      </c>
      <c r="F66" s="27" t="s">
        <v>604</v>
      </c>
      <c r="G66" s="27" t="s">
        <v>605</v>
      </c>
      <c r="H66" s="27" t="s">
        <v>606</v>
      </c>
      <c r="I66" s="6"/>
      <c r="J66" s="6"/>
      <c r="K66" s="6"/>
      <c r="L66" s="6"/>
      <c r="M66" s="6"/>
      <c r="N66" s="6"/>
      <c r="O66" s="27" t="s">
        <v>685</v>
      </c>
      <c r="P66" s="34"/>
      <c r="Q66" s="28" t="s">
        <v>796</v>
      </c>
      <c r="R66" s="29"/>
    </row>
    <row r="67" spans="1:18" ht="17.25" customHeight="1">
      <c r="A67" s="35" t="s">
        <v>797</v>
      </c>
      <c r="B67" s="23" t="str" cm="1">
        <f t="array" ref="B67">_xlfn.TEXTJOIN(", ", TRUE(), _xlfn._xlws.FILTER(Spkrs_Rcrdngs[Speaker],Spkrs_Rcrdngs[Recording]=Rcrdngs[[#This Row],[Text]],"[no speaker selected in Speakers_in_Recordings]"))</f>
        <v>Syria12</v>
      </c>
      <c r="C67" s="24" t="str" cm="1">
        <f t="array" ref="C67">_xlfn.TEXTJOIN(", ", TRUE(), _xlfn._xlws.FILTER(Sbcts_Rcrdngs[Subject],Sbcts_Rcrdngs[Recording]=Rcrdngs[[#This Row],[Text]],"[no subject selected in Subjects_in_Recordings]"))</f>
        <v>Eating Fruits</v>
      </c>
      <c r="D67" s="25">
        <v>45076</v>
      </c>
      <c r="E67" s="26" t="s">
        <v>798</v>
      </c>
      <c r="F67" s="27" t="s">
        <v>604</v>
      </c>
      <c r="G67" s="27" t="s">
        <v>605</v>
      </c>
      <c r="H67" s="27"/>
      <c r="I67" s="6"/>
      <c r="J67" s="6"/>
      <c r="K67" s="6"/>
      <c r="L67" s="6"/>
      <c r="M67" s="6"/>
      <c r="N67" s="6"/>
      <c r="O67" s="27" t="s">
        <v>685</v>
      </c>
      <c r="P67" s="34"/>
      <c r="Q67" s="28" t="s">
        <v>799</v>
      </c>
      <c r="R67" s="29"/>
    </row>
    <row r="68" spans="1:18" ht="17.25" customHeight="1">
      <c r="A68" s="35" t="s">
        <v>800</v>
      </c>
      <c r="B68" s="23" t="str" cm="1">
        <f t="array" ref="B68">_xlfn.TEXTJOIN(", ", TRUE(), _xlfn._xlws.FILTER(Spkrs_Rcrdngs[Speaker],Spkrs_Rcrdngs[Recording]=Rcrdngs[[#This Row],[Text]],"[no speaker selected in Speakers_in_Recordings]"))</f>
        <v>Syria12</v>
      </c>
      <c r="C68" s="24" t="str" cm="1">
        <f t="array" ref="C68">_xlfn.TEXTJOIN(", ", TRUE(), _xlfn._xlws.FILTER(Sbcts_Rcrdngs[Subject],Sbcts_Rcrdngs[Recording]=Rcrdngs[[#This Row],[Text]],"[no subject selected in Subjects_in_Recordings]"))</f>
        <v>Short</v>
      </c>
      <c r="D68" s="25">
        <v>45076</v>
      </c>
      <c r="E68" s="26" t="s">
        <v>801</v>
      </c>
      <c r="F68" s="27" t="s">
        <v>604</v>
      </c>
      <c r="G68" s="27" t="s">
        <v>605</v>
      </c>
      <c r="H68" s="27"/>
      <c r="I68" s="6"/>
      <c r="J68" s="6"/>
      <c r="K68" s="6"/>
      <c r="L68" s="6"/>
      <c r="M68" s="6"/>
      <c r="N68" s="6"/>
      <c r="O68" s="27" t="s">
        <v>685</v>
      </c>
      <c r="P68" s="34"/>
      <c r="Q68" s="28" t="s">
        <v>802</v>
      </c>
      <c r="R68" s="29"/>
    </row>
    <row r="69" spans="1:18" ht="17.25" customHeight="1">
      <c r="A69" s="35" t="s">
        <v>803</v>
      </c>
      <c r="B69" s="23" t="str" cm="1">
        <f t="array" ref="B69">_xlfn.TEXTJOIN(", ", TRUE(), _xlfn._xlws.FILTER(Spkrs_Rcrdngs[Speaker],Spkrs_Rcrdngs[Recording]=Rcrdngs[[#This Row],[Text]],"[no speaker selected in Speakers_in_Recordings]"))</f>
        <v>Syria11</v>
      </c>
      <c r="C69" s="24" t="str" cm="1">
        <f t="array" ref="C69">_xlfn.TEXTJOIN(", ", TRUE(), _xlfn._xlws.FILTER(Sbcts_Rcrdngs[Subject],Sbcts_Rcrdngs[Recording]=Rcrdngs[[#This Row],[Text]],"[no subject selected in Subjects_in_Recordings]"))</f>
        <v>The Bride</v>
      </c>
      <c r="D69" s="25">
        <v>45076</v>
      </c>
      <c r="E69" s="26" t="s">
        <v>754</v>
      </c>
      <c r="F69" s="27" t="s">
        <v>604</v>
      </c>
      <c r="G69" s="27" t="s">
        <v>605</v>
      </c>
      <c r="H69" s="27"/>
      <c r="I69" s="6"/>
      <c r="J69" s="6"/>
      <c r="K69" s="6"/>
      <c r="L69" s="6"/>
      <c r="M69" s="6"/>
      <c r="N69" s="6"/>
      <c r="O69" s="27" t="s">
        <v>685</v>
      </c>
      <c r="P69" s="34"/>
      <c r="Q69" s="28" t="s">
        <v>804</v>
      </c>
      <c r="R69" s="29"/>
    </row>
    <row r="70" spans="1:18" ht="17.25" customHeight="1">
      <c r="A70" s="35" t="s">
        <v>805</v>
      </c>
      <c r="B70" s="23" t="str" cm="1">
        <f t="array" ref="B70">_xlfn.TEXTJOIN(", ", TRUE(), _xlfn._xlws.FILTER(Spkrs_Rcrdngs[Speaker],Spkrs_Rcrdngs[Recording]=Rcrdngs[[#This Row],[Text]],"[no speaker selected in Speakers_in_Recordings]"))</f>
        <v>Syria11</v>
      </c>
      <c r="C70" s="24" t="str" cm="1">
        <f t="array" ref="C70">_xlfn.TEXTJOIN(", ", TRUE(), _xlfn._xlws.FILTER(Sbcts_Rcrdngs[Subject],Sbcts_Rcrdngs[Recording]=Rcrdngs[[#This Row],[Text]],"[no subject selected in Subjects_in_Recordings]"))</f>
        <v>The Sheikhs</v>
      </c>
      <c r="D70" s="25">
        <v>45076</v>
      </c>
      <c r="E70" s="26" t="s">
        <v>806</v>
      </c>
      <c r="F70" s="27" t="s">
        <v>604</v>
      </c>
      <c r="G70" s="27" t="s">
        <v>605</v>
      </c>
      <c r="H70" s="27"/>
      <c r="I70" s="6"/>
      <c r="J70" s="6"/>
      <c r="K70" s="6"/>
      <c r="L70" s="6"/>
      <c r="M70" s="6"/>
      <c r="N70" s="6"/>
      <c r="O70" s="27" t="s">
        <v>685</v>
      </c>
      <c r="P70" s="34"/>
      <c r="Q70" s="28" t="s">
        <v>807</v>
      </c>
      <c r="R70" s="29"/>
    </row>
    <row r="71" spans="1:18" ht="17.25" customHeight="1">
      <c r="A71" s="35" t="s">
        <v>808</v>
      </c>
      <c r="B71" s="23" t="str" cm="1">
        <f t="array" ref="B71">_xlfn.TEXTJOIN(", ", TRUE(), _xlfn._xlws.FILTER(Spkrs_Rcrdngs[Speaker],Spkrs_Rcrdngs[Recording]=Rcrdngs[[#This Row],[Text]],"[no speaker selected in Speakers_in_Recordings]"))</f>
        <v>Syria11</v>
      </c>
      <c r="C71" s="24" t="str" cm="1">
        <f t="array" ref="C71">_xlfn.TEXTJOIN(", ", TRUE(), _xlfn._xlws.FILTER(Sbcts_Rcrdngs[Subject],Sbcts_Rcrdngs[Recording]=Rcrdngs[[#This Row],[Text]],"[no subject selected in Subjects_in_Recordings]"))</f>
        <v>Soud</v>
      </c>
      <c r="D71" s="25">
        <v>45076</v>
      </c>
      <c r="E71" s="26" t="s">
        <v>688</v>
      </c>
      <c r="F71" s="27" t="s">
        <v>604</v>
      </c>
      <c r="G71" s="27" t="s">
        <v>605</v>
      </c>
      <c r="H71" s="27"/>
      <c r="I71" s="6"/>
      <c r="J71" s="6"/>
      <c r="K71" s="6"/>
      <c r="L71" s="6"/>
      <c r="M71" s="6"/>
      <c r="N71" s="6"/>
      <c r="O71" s="27" t="s">
        <v>685</v>
      </c>
      <c r="P71" s="34"/>
      <c r="Q71" s="28" t="s">
        <v>809</v>
      </c>
      <c r="R71" s="29"/>
    </row>
    <row r="72" spans="1:18" ht="17.25" customHeight="1">
      <c r="A72" s="35" t="s">
        <v>810</v>
      </c>
      <c r="B72" s="23" t="str" cm="1">
        <f t="array" ref="B72">_xlfn.TEXTJOIN(", ", TRUE(), _xlfn._xlws.FILTER(Spkrs_Rcrdngs[Speaker],Spkrs_Rcrdngs[Recording]=Rcrdngs[[#This Row],[Text]],"[no speaker selected in Speakers_in_Recordings]"))</f>
        <v>Syria11</v>
      </c>
      <c r="C72" s="24" t="str" cm="1">
        <f t="array" ref="C72">_xlfn.TEXTJOIN(", ", TRUE(), _xlfn._xlws.FILTER(Sbcts_Rcrdngs[Subject],Sbcts_Rcrdngs[Recording]=Rcrdngs[[#This Row],[Text]],"[no subject selected in Subjects_in_Recordings]"))</f>
        <v>Short</v>
      </c>
      <c r="D72" s="25">
        <v>45076</v>
      </c>
      <c r="E72" s="26" t="s">
        <v>742</v>
      </c>
      <c r="F72" s="27" t="s">
        <v>604</v>
      </c>
      <c r="G72" s="27" t="s">
        <v>605</v>
      </c>
      <c r="H72" s="27"/>
      <c r="I72" s="6"/>
      <c r="J72" s="6"/>
      <c r="K72" s="6"/>
      <c r="L72" s="6"/>
      <c r="M72" s="6"/>
      <c r="N72" s="6"/>
      <c r="O72" s="27" t="s">
        <v>685</v>
      </c>
      <c r="P72" s="34"/>
      <c r="Q72" s="28" t="s">
        <v>811</v>
      </c>
      <c r="R72" s="29"/>
    </row>
    <row r="73" spans="1:18" ht="17.25" customHeight="1">
      <c r="A73" s="35" t="s">
        <v>812</v>
      </c>
      <c r="B73" s="23" t="str" cm="1">
        <f t="array" ref="B73">_xlfn.TEXTJOIN(", ", TRUE(), _xlfn._xlws.FILTER(Spkrs_Rcrdngs[Speaker],Spkrs_Rcrdngs[Recording]=Rcrdngs[[#This Row],[Text]],"[no speaker selected in Speakers_in_Recordings]"))</f>
        <v>Syria12</v>
      </c>
      <c r="C73" s="24" t="str" cm="1">
        <f t="array" ref="C73">_xlfn.TEXTJOIN(", ", TRUE(), _xlfn._xlws.FILTER(Sbcts_Rcrdngs[Subject],Sbcts_Rcrdngs[Recording]=Rcrdngs[[#This Row],[Text]],"[no subject selected in Subjects_in_Recordings]"))</f>
        <v>Short</v>
      </c>
      <c r="D73" s="25">
        <v>45076</v>
      </c>
      <c r="E73" s="26" t="s">
        <v>813</v>
      </c>
      <c r="F73" s="27" t="s">
        <v>604</v>
      </c>
      <c r="G73" s="27" t="s">
        <v>605</v>
      </c>
      <c r="H73" s="27"/>
      <c r="I73" s="6"/>
      <c r="J73" s="6"/>
      <c r="K73" s="6"/>
      <c r="L73" s="6"/>
      <c r="M73" s="6"/>
      <c r="N73" s="6"/>
      <c r="O73" s="27" t="s">
        <v>685</v>
      </c>
      <c r="P73" s="34"/>
      <c r="Q73" s="28" t="s">
        <v>814</v>
      </c>
      <c r="R73" s="29"/>
    </row>
    <row r="74" spans="1:18" ht="17.25" customHeight="1">
      <c r="A74" s="30" t="s">
        <v>815</v>
      </c>
      <c r="B74" s="23" t="str" cm="1">
        <f t="array" ref="B74">_xlfn.TEXTJOIN(", ", TRUE(), _xlfn._xlws.FILTER(Spkrs_Rcrdngs[Speaker],Spkrs_Rcrdngs[Recording]=Rcrdngs[[#This Row],[Text]],"[no speaker selected in Speakers_in_Recordings]"))</f>
        <v>Syria11</v>
      </c>
      <c r="C74" s="24" t="str" cm="1">
        <f t="array" ref="C74">_xlfn.TEXTJOIN(", ", TRUE(), _xlfn._xlws.FILTER(Sbcts_Rcrdngs[Subject],Sbcts_Rcrdngs[Recording]=Rcrdngs[[#This Row],[Text]],"[no subject selected in Subjects_in_Recordings]"))</f>
        <v>Short</v>
      </c>
      <c r="D74" s="25">
        <v>45076</v>
      </c>
      <c r="E74" s="26" t="s">
        <v>813</v>
      </c>
      <c r="F74" s="27" t="s">
        <v>604</v>
      </c>
      <c r="G74" s="27" t="s">
        <v>605</v>
      </c>
      <c r="H74" s="27"/>
      <c r="I74" s="6"/>
      <c r="J74" s="6"/>
      <c r="K74" s="6"/>
      <c r="L74" s="6"/>
      <c r="M74" s="6"/>
      <c r="N74" s="6"/>
      <c r="O74" s="27" t="s">
        <v>685</v>
      </c>
      <c r="P74" s="34"/>
      <c r="Q74" s="34" t="s">
        <v>816</v>
      </c>
      <c r="R74" s="29"/>
    </row>
    <row r="75" spans="1:18" ht="17.25" customHeight="1">
      <c r="A75" s="35" t="s">
        <v>817</v>
      </c>
      <c r="B75" s="23" t="str" cm="1">
        <f t="array" ref="B75">_xlfn.TEXTJOIN(", ", TRUE(), _xlfn._xlws.FILTER(Spkrs_Rcrdngs[Speaker],Spkrs_Rcrdngs[Recording]=Rcrdngs[[#This Row],[Text]],"[no speaker selected in Speakers_in_Recordings]"))</f>
        <v>Syria13</v>
      </c>
      <c r="C75" s="24" t="str" cm="1">
        <f t="array" ref="C75">_xlfn.TEXTJOIN(", ", TRUE(), _xlfn._xlws.FILTER(Sbcts_Rcrdngs[Subject],Sbcts_Rcrdngs[Recording]=Rcrdngs[[#This Row],[Text]],"[no subject selected in Subjects_in_Recordings]"))</f>
        <v>Short</v>
      </c>
      <c r="D75" s="25">
        <v>45076</v>
      </c>
      <c r="E75" s="26" t="s">
        <v>818</v>
      </c>
      <c r="F75" s="27" t="s">
        <v>604</v>
      </c>
      <c r="G75" s="27" t="s">
        <v>605</v>
      </c>
      <c r="H75" s="27"/>
      <c r="I75" s="6"/>
      <c r="J75" s="6"/>
      <c r="K75" s="6"/>
      <c r="L75" s="6"/>
      <c r="M75" s="6"/>
      <c r="N75" s="6"/>
      <c r="O75" s="27" t="s">
        <v>685</v>
      </c>
      <c r="P75" s="34"/>
      <c r="Q75" s="28" t="s">
        <v>819</v>
      </c>
      <c r="R75" s="29"/>
    </row>
    <row r="76" spans="1:18" ht="17.25" customHeight="1">
      <c r="A76" s="30" t="s">
        <v>820</v>
      </c>
      <c r="B76" s="23" t="str" cm="1">
        <f t="array" ref="B76">_xlfn.TEXTJOIN(", ", TRUE(), _xlfn._xlws.FILTER(Spkrs_Rcrdngs[Speaker],Spkrs_Rcrdngs[Recording]=Rcrdngs[[#This Row],[Text]],"[no speaker selected in Speakers_in_Recordings]"))</f>
        <v>Syria08</v>
      </c>
      <c r="C76" s="24" t="str" cm="1">
        <f t="array" ref="C76">_xlfn.TEXTJOIN(", ", TRUE(), _xlfn._xlws.FILTER(Sbcts_Rcrdngs[Subject],Sbcts_Rcrdngs[Recording]=Rcrdngs[[#This Row],[Text]],"[no subject selected in Subjects_in_Recordings]"))</f>
        <v>Getting Caught</v>
      </c>
      <c r="D76" s="25">
        <v>45076</v>
      </c>
      <c r="E76" s="26" t="s">
        <v>821</v>
      </c>
      <c r="F76" s="27" t="s">
        <v>604</v>
      </c>
      <c r="G76" s="27" t="s">
        <v>605</v>
      </c>
      <c r="H76" s="27"/>
      <c r="I76" s="6"/>
      <c r="J76" s="6"/>
      <c r="K76" s="6"/>
      <c r="L76" s="6"/>
      <c r="M76" s="6"/>
      <c r="N76" s="6"/>
      <c r="O76" s="27" t="s">
        <v>685</v>
      </c>
      <c r="P76" s="34"/>
      <c r="Q76" s="34" t="s">
        <v>822</v>
      </c>
      <c r="R76" s="29"/>
    </row>
    <row r="77" spans="1:18" ht="17.25" customHeight="1">
      <c r="A77" s="35" t="s">
        <v>823</v>
      </c>
      <c r="B77" s="23" t="str" cm="1">
        <f t="array" ref="B77">_xlfn.TEXTJOIN(", ", TRUE(), _xlfn._xlws.FILTER(Spkrs_Rcrdngs[Speaker],Spkrs_Rcrdngs[Recording]=Rcrdngs[[#This Row],[Text]],"[no speaker selected in Speakers_in_Recordings]"))</f>
        <v>Syria08</v>
      </c>
      <c r="C77" s="24" t="str" cm="1">
        <f t="array" ref="C77">_xlfn.TEXTJOIN(", ", TRUE(), _xlfn._xlws.FILTER(Sbcts_Rcrdngs[Subject],Sbcts_Rcrdngs[Recording]=Rcrdngs[[#This Row],[Text]],"[no subject selected in Subjects_in_Recordings]"))</f>
        <v>Old Man</v>
      </c>
      <c r="D77" s="25">
        <v>45076</v>
      </c>
      <c r="E77" s="26" t="s">
        <v>824</v>
      </c>
      <c r="F77" s="27" t="s">
        <v>604</v>
      </c>
      <c r="G77" s="27" t="s">
        <v>605</v>
      </c>
      <c r="H77" s="27"/>
      <c r="I77" s="6"/>
      <c r="J77" s="6"/>
      <c r="K77" s="6"/>
      <c r="L77" s="6"/>
      <c r="M77" s="6"/>
      <c r="N77" s="6"/>
      <c r="O77" s="27" t="s">
        <v>685</v>
      </c>
      <c r="P77" s="34"/>
      <c r="Q77" s="28" t="s">
        <v>825</v>
      </c>
      <c r="R77" s="29"/>
    </row>
    <row r="78" spans="1:18" ht="17.25" customHeight="1">
      <c r="A78" s="30" t="s">
        <v>826</v>
      </c>
      <c r="B78" s="23" t="str" cm="1">
        <f t="array" ref="B78">_xlfn.TEXTJOIN(", ", TRUE(), _xlfn._xlws.FILTER(Spkrs_Rcrdngs[Speaker],Spkrs_Rcrdngs[Recording]=Rcrdngs[[#This Row],[Text]],"[no speaker selected in Speakers_in_Recordings]"))</f>
        <v>Syria09</v>
      </c>
      <c r="C78" s="24" t="str" cm="1">
        <f t="array" ref="C78">_xlfn.TEXTJOIN(", ", TRUE(), _xlfn._xlws.FILTER(Sbcts_Rcrdngs[Subject],Sbcts_Rcrdngs[Recording]=Rcrdngs[[#This Row],[Text]],"[no subject selected in Subjects_in_Recordings]"))</f>
        <v>Voice Message</v>
      </c>
      <c r="D78" s="25">
        <v>45077</v>
      </c>
      <c r="E78" s="26" t="s">
        <v>827</v>
      </c>
      <c r="F78" s="27" t="s">
        <v>604</v>
      </c>
      <c r="G78" s="27" t="s">
        <v>605</v>
      </c>
      <c r="H78" s="27"/>
      <c r="I78" s="6"/>
      <c r="J78" s="6"/>
      <c r="K78" s="6"/>
      <c r="L78" s="6"/>
      <c r="M78" s="6"/>
      <c r="N78" s="6"/>
      <c r="O78" s="27" t="s">
        <v>685</v>
      </c>
      <c r="P78" s="34"/>
      <c r="Q78" s="34" t="s">
        <v>828</v>
      </c>
      <c r="R78" s="29"/>
    </row>
    <row r="79" spans="1:18" ht="17.25" customHeight="1">
      <c r="A79" s="30" t="s">
        <v>829</v>
      </c>
      <c r="B79" s="23" t="str" cm="1">
        <f t="array" ref="B79">_xlfn.TEXTJOIN(", ", TRUE(), _xlfn._xlws.FILTER(Spkrs_Rcrdngs[Speaker],Spkrs_Rcrdngs[Recording]=Rcrdngs[[#This Row],[Text]],"[no speaker selected in Speakers_in_Recordings]"))</f>
        <v>Syria09, Syria10</v>
      </c>
      <c r="C79" s="24" t="str" cm="1">
        <f t="array" ref="C79">_xlfn.TEXTJOIN(", ", TRUE(), _xlfn._xlws.FILTER(Sbcts_Rcrdngs[Subject],Sbcts_Rcrdngs[Recording]=Rcrdngs[[#This Row],[Text]],"[no subject selected in Subjects_in_Recordings]"))</f>
        <v>Abu al-Adas, Stories</v>
      </c>
      <c r="D79" s="25">
        <v>45087</v>
      </c>
      <c r="E79" s="26" t="s">
        <v>830</v>
      </c>
      <c r="F79" s="27" t="s">
        <v>604</v>
      </c>
      <c r="G79" s="27" t="s">
        <v>605</v>
      </c>
      <c r="H79" s="27"/>
      <c r="I79" s="6"/>
      <c r="J79" s="6"/>
      <c r="K79" s="6"/>
      <c r="L79" s="6"/>
      <c r="M79" s="6"/>
      <c r="N79" s="6"/>
      <c r="O79" s="27" t="s">
        <v>685</v>
      </c>
      <c r="P79" s="34"/>
      <c r="Q79" s="34" t="s">
        <v>831</v>
      </c>
      <c r="R79" s="29"/>
    </row>
    <row r="80" spans="1:18" ht="17.25" customHeight="1">
      <c r="A80" s="35" t="s">
        <v>832</v>
      </c>
      <c r="B80" s="23" t="str" cm="1">
        <f t="array" ref="B80">_xlfn.TEXTJOIN(", ", TRUE(), _xlfn._xlws.FILTER(Spkrs_Rcrdngs[Speaker],Spkrs_Rcrdngs[Recording]=Rcrdngs[[#This Row],[Text]],"[no speaker selected in Speakers_in_Recordings]"))</f>
        <v>Syria08</v>
      </c>
      <c r="C80" s="24" t="str" cm="1">
        <f t="array" ref="C80">_xlfn.TEXTJOIN(", ", TRUE(), _xlfn._xlws.FILTER(Sbcts_Rcrdngs[Subject],Sbcts_Rcrdngs[Recording]=Rcrdngs[[#This Row],[Text]],"[no subject selected in Subjects_in_Recordings]"))</f>
        <v>Voice Message</v>
      </c>
      <c r="D80" s="25">
        <v>45087</v>
      </c>
      <c r="E80" s="26" t="s">
        <v>722</v>
      </c>
      <c r="F80" s="27" t="s">
        <v>604</v>
      </c>
      <c r="G80" s="27" t="s">
        <v>605</v>
      </c>
      <c r="H80" s="27"/>
      <c r="I80" s="6"/>
      <c r="J80" s="6"/>
      <c r="K80" s="6"/>
      <c r="L80" s="6"/>
      <c r="M80" s="6"/>
      <c r="N80" s="6"/>
      <c r="O80" s="27" t="s">
        <v>685</v>
      </c>
      <c r="P80" s="34"/>
      <c r="Q80" s="28" t="s">
        <v>833</v>
      </c>
      <c r="R80" s="29"/>
    </row>
    <row r="81" spans="1:18" ht="17.25" customHeight="1">
      <c r="A81" s="35" t="s">
        <v>834</v>
      </c>
      <c r="B81" s="23" t="str" cm="1">
        <f t="array" ref="B81">_xlfn.TEXTJOIN(", ", TRUE(), _xlfn._xlws.FILTER(Spkrs_Rcrdngs[Speaker],Spkrs_Rcrdngs[Recording]=Rcrdngs[[#This Row],[Text]],"[no speaker selected in Speakers_in_Recordings]"))</f>
        <v>Syria09, Syria10</v>
      </c>
      <c r="C81" s="24" t="str" cm="1">
        <f t="array" ref="C81">_xlfn.TEXTJOIN(", ", TRUE(), _xlfn._xlws.FILTER(Sbcts_Rcrdngs[Subject],Sbcts_Rcrdngs[Recording]=Rcrdngs[[#This Row],[Text]],"[no subject selected in Subjects_in_Recordings]"))</f>
        <v>Stories</v>
      </c>
      <c r="D81" s="25">
        <v>45100</v>
      </c>
      <c r="E81" s="26" t="s">
        <v>835</v>
      </c>
      <c r="F81" s="27" t="s">
        <v>604</v>
      </c>
      <c r="G81" s="27" t="s">
        <v>605</v>
      </c>
      <c r="H81" s="27"/>
      <c r="I81" s="6"/>
      <c r="J81" s="6"/>
      <c r="K81" s="6"/>
      <c r="L81" s="6"/>
      <c r="M81" s="6"/>
      <c r="N81" s="6"/>
      <c r="O81" s="27" t="s">
        <v>685</v>
      </c>
      <c r="P81" s="34"/>
      <c r="Q81" s="28" t="s">
        <v>836</v>
      </c>
      <c r="R81" s="29"/>
    </row>
    <row r="82" spans="1:18" ht="17.25" customHeight="1">
      <c r="A82" s="35" t="s">
        <v>837</v>
      </c>
      <c r="B82" s="23" t="str" cm="1">
        <f t="array" ref="B82">_xlfn.TEXTJOIN(", ", TRUE(), _xlfn._xlws.FILTER(Spkrs_Rcrdngs[Speaker],Spkrs_Rcrdngs[Recording]=Rcrdngs[[#This Row],[Text]],"[no speaker selected in Speakers_in_Recordings]"))</f>
        <v>Syria09, Syria10</v>
      </c>
      <c r="C82" s="24" t="str" cm="1">
        <f t="array" ref="C82">_xlfn.TEXTJOIN(", ", TRUE(), _xlfn._xlws.FILTER(Sbcts_Rcrdngs[Subject],Sbcts_Rcrdngs[Recording]=Rcrdngs[[#This Row],[Text]],"[no subject selected in Subjects_in_Recordings]"))</f>
        <v>Stories</v>
      </c>
      <c r="D82" s="25">
        <v>45100</v>
      </c>
      <c r="E82" s="26" t="s">
        <v>838</v>
      </c>
      <c r="F82" s="27" t="s">
        <v>604</v>
      </c>
      <c r="G82" s="27" t="s">
        <v>605</v>
      </c>
      <c r="H82" s="27"/>
      <c r="I82" s="6"/>
      <c r="J82" s="6"/>
      <c r="K82" s="6"/>
      <c r="L82" s="6"/>
      <c r="M82" s="6"/>
      <c r="N82" s="6"/>
      <c r="O82" s="27" t="s">
        <v>685</v>
      </c>
      <c r="P82" s="34"/>
      <c r="Q82" s="28" t="s">
        <v>839</v>
      </c>
      <c r="R82" s="29"/>
    </row>
    <row r="83" spans="1:18" ht="17.25" customHeight="1">
      <c r="A83" s="35" t="s">
        <v>840</v>
      </c>
      <c r="B83" s="23" t="str" cm="1">
        <f t="array" ref="B83">_xlfn.TEXTJOIN(", ", TRUE(), _xlfn._xlws.FILTER(Spkrs_Rcrdngs[Speaker],Spkrs_Rcrdngs[Recording]=Rcrdngs[[#This Row],[Text]],"[no speaker selected in Speakers_in_Recordings]"))</f>
        <v>Syria09, Syria10</v>
      </c>
      <c r="C83" s="24" t="str" cm="1">
        <f t="array" ref="C83">_xlfn.TEXTJOIN(", ", TRUE(), _xlfn._xlws.FILTER(Sbcts_Rcrdngs[Subject],Sbcts_Rcrdngs[Recording]=Rcrdngs[[#This Row],[Text]],"[no subject selected in Subjects_in_Recordings]"))</f>
        <v>Car at the Wedding</v>
      </c>
      <c r="D83" s="25">
        <v>45100</v>
      </c>
      <c r="E83" s="26" t="s">
        <v>841</v>
      </c>
      <c r="F83" s="27" t="s">
        <v>604</v>
      </c>
      <c r="G83" s="27" t="s">
        <v>605</v>
      </c>
      <c r="H83" s="27"/>
      <c r="I83" s="6"/>
      <c r="J83" s="6"/>
      <c r="K83" s="6"/>
      <c r="L83" s="6"/>
      <c r="M83" s="6"/>
      <c r="N83" s="6"/>
      <c r="O83" s="27" t="s">
        <v>685</v>
      </c>
      <c r="P83" s="34"/>
      <c r="Q83" s="28" t="s">
        <v>842</v>
      </c>
      <c r="R83" s="29"/>
    </row>
    <row r="84" spans="1:18" ht="17.25" customHeight="1">
      <c r="A84" s="35" t="s">
        <v>843</v>
      </c>
      <c r="B84" s="23" t="str" cm="1">
        <f t="array" ref="B84">_xlfn.TEXTJOIN(", ", TRUE(), _xlfn._xlws.FILTER(Spkrs_Rcrdngs[Speaker],Spkrs_Rcrdngs[Recording]=Rcrdngs[[#This Row],[Text]],"[no speaker selected in Speakers_in_Recordings]"))</f>
        <v>Syria09, Syria10</v>
      </c>
      <c r="C84" s="24" t="str" cm="1">
        <f t="array" ref="C84">_xlfn.TEXTJOIN(", ", TRUE(), _xlfn._xlws.FILTER(Sbcts_Rcrdngs[Subject],Sbcts_Rcrdngs[Recording]=Rcrdngs[[#This Row],[Text]],"[no subject selected in Subjects_in_Recordings]"))</f>
        <v>College Days, Stories</v>
      </c>
      <c r="D84" s="25">
        <v>45109</v>
      </c>
      <c r="E84" s="26" t="s">
        <v>844</v>
      </c>
      <c r="F84" s="27" t="s">
        <v>604</v>
      </c>
      <c r="G84" s="27" t="s">
        <v>605</v>
      </c>
      <c r="H84" s="27"/>
      <c r="I84" s="6"/>
      <c r="J84" s="6"/>
      <c r="K84" s="6"/>
      <c r="L84" s="6"/>
      <c r="M84" s="6"/>
      <c r="N84" s="6"/>
      <c r="O84" s="27" t="s">
        <v>685</v>
      </c>
      <c r="P84" s="34"/>
      <c r="Q84" s="28" t="s">
        <v>845</v>
      </c>
      <c r="R84" s="29"/>
    </row>
    <row r="85" spans="1:18" ht="17.25" customHeight="1">
      <c r="A85" s="35" t="s">
        <v>846</v>
      </c>
      <c r="B85" s="23" t="str" cm="1">
        <f t="array" ref="B85">_xlfn.TEXTJOIN(", ", TRUE(), _xlfn._xlws.FILTER(Spkrs_Rcrdngs[Speaker],Spkrs_Rcrdngs[Recording]=Rcrdngs[[#This Row],[Text]],"[no speaker selected in Speakers_in_Recordings]"))</f>
        <v>Syria09, Syria10</v>
      </c>
      <c r="C85" s="24" t="str" cm="1">
        <f t="array" ref="C85">_xlfn.TEXTJOIN(", ", TRUE(), _xlfn._xlws.FILTER(Sbcts_Rcrdngs[Subject],Sbcts_Rcrdngs[Recording]=Rcrdngs[[#This Row],[Text]],"[no subject selected in Subjects_in_Recordings]"))</f>
        <v>Looking for a Wife, Stories</v>
      </c>
      <c r="D85" s="25">
        <v>45109</v>
      </c>
      <c r="E85" s="26" t="s">
        <v>847</v>
      </c>
      <c r="F85" s="27" t="s">
        <v>604</v>
      </c>
      <c r="G85" s="27" t="s">
        <v>605</v>
      </c>
      <c r="H85" s="27"/>
      <c r="I85" s="6"/>
      <c r="J85" s="6"/>
      <c r="K85" s="6"/>
      <c r="L85" s="6"/>
      <c r="M85" s="6"/>
      <c r="N85" s="6"/>
      <c r="O85" s="27" t="s">
        <v>685</v>
      </c>
      <c r="P85" s="34"/>
      <c r="Q85" s="28" t="s">
        <v>848</v>
      </c>
      <c r="R85" s="29"/>
    </row>
    <row r="86" spans="1:18" ht="17.25" customHeight="1">
      <c r="A86" s="35" t="s">
        <v>849</v>
      </c>
      <c r="B86" s="23" t="str" cm="1">
        <f t="array" ref="B86">_xlfn.TEXTJOIN(", ", TRUE(), _xlfn._xlws.FILTER(Spkrs_Rcrdngs[Speaker],Spkrs_Rcrdngs[Recording]=Rcrdngs[[#This Row],[Text]],"[no speaker selected in Speakers_in_Recordings]"))</f>
        <v>Syria09, Syria10</v>
      </c>
      <c r="C86" s="24" t="str" cm="1">
        <f t="array" ref="C86">_xlfn.TEXTJOIN(", ", TRUE(), _xlfn._xlws.FILTER(Sbcts_Rcrdngs[Subject],Sbcts_Rcrdngs[Recording]=Rcrdngs[[#This Row],[Text]],"[no subject selected in Subjects_in_Recordings]"))</f>
        <v>Conversation, Stories</v>
      </c>
      <c r="D86" s="25">
        <v>45109</v>
      </c>
      <c r="E86" s="26" t="s">
        <v>850</v>
      </c>
      <c r="F86" s="27" t="s">
        <v>604</v>
      </c>
      <c r="G86" s="27" t="s">
        <v>605</v>
      </c>
      <c r="H86" s="27"/>
      <c r="I86" s="6"/>
      <c r="J86" s="6"/>
      <c r="K86" s="6"/>
      <c r="L86" s="6"/>
      <c r="M86" s="6"/>
      <c r="N86" s="6"/>
      <c r="O86" s="27" t="s">
        <v>685</v>
      </c>
      <c r="P86" s="34"/>
      <c r="Q86" s="28" t="s">
        <v>851</v>
      </c>
      <c r="R86" s="29"/>
    </row>
    <row r="87" spans="1:18" ht="17.25" customHeight="1">
      <c r="A87" s="35" t="s">
        <v>852</v>
      </c>
      <c r="B87" s="23" t="str" cm="1">
        <f t="array" ref="B87">_xlfn.TEXTJOIN(", ", TRUE(), _xlfn._xlws.FILTER(Spkrs_Rcrdngs[Speaker],Spkrs_Rcrdngs[Recording]=Rcrdngs[[#This Row],[Text]],"[no speaker selected in Speakers_in_Recordings]"))</f>
        <v>Syria09, Syria10</v>
      </c>
      <c r="C87" s="24" t="str" cm="1">
        <f t="array" ref="C87">_xlfn.TEXTJOIN(", ", TRUE(), _xlfn._xlws.FILTER(Sbcts_Rcrdngs[Subject],Sbcts_Rcrdngs[Recording]=Rcrdngs[[#This Row],[Text]],"[no subject selected in Subjects_in_Recordings]"))</f>
        <v>Military Times, Lying Man, Voracious Man</v>
      </c>
      <c r="D87" s="25">
        <v>45111</v>
      </c>
      <c r="E87" s="26" t="s">
        <v>853</v>
      </c>
      <c r="F87" s="27" t="s">
        <v>604</v>
      </c>
      <c r="G87" s="27" t="s">
        <v>605</v>
      </c>
      <c r="H87" s="27"/>
      <c r="I87" s="6"/>
      <c r="J87" s="6"/>
      <c r="K87" s="6"/>
      <c r="L87" s="6"/>
      <c r="M87" s="6"/>
      <c r="N87" s="6"/>
      <c r="O87" s="27" t="s">
        <v>685</v>
      </c>
      <c r="P87" s="34"/>
      <c r="Q87" s="28" t="s">
        <v>854</v>
      </c>
      <c r="R87" s="29"/>
    </row>
    <row r="88" spans="1:18" ht="17.25" customHeight="1">
      <c r="A88" s="35" t="s">
        <v>855</v>
      </c>
      <c r="B88" s="23" t="str" cm="1">
        <f t="array" ref="B88">_xlfn.TEXTJOIN(", ", TRUE(), _xlfn._xlws.FILTER(Spkrs_Rcrdngs[Speaker],Spkrs_Rcrdngs[Recording]=Rcrdngs[[#This Row],[Text]],"[no speaker selected in Speakers_in_Recordings]"))</f>
        <v>Syria09, Syria10</v>
      </c>
      <c r="C88" s="24" t="str" cm="1">
        <f t="array" ref="C88">_xlfn.TEXTJOIN(", ", TRUE(), _xlfn._xlws.FILTER(Sbcts_Rcrdngs[Subject],Sbcts_Rcrdngs[Recording]=Rcrdngs[[#This Row],[Text]],"[no subject selected in Subjects_in_Recordings]"))</f>
        <v>Harvesting, Stealing, Making Sandwitches, School, Playing Cards</v>
      </c>
      <c r="D88" s="25">
        <v>45129</v>
      </c>
      <c r="E88" s="26" t="s">
        <v>856</v>
      </c>
      <c r="F88" s="27" t="s">
        <v>604</v>
      </c>
      <c r="G88" s="27" t="s">
        <v>605</v>
      </c>
      <c r="H88" s="27"/>
      <c r="I88" s="6"/>
      <c r="J88" s="6"/>
      <c r="K88" s="6"/>
      <c r="L88" s="6"/>
      <c r="M88" s="6"/>
      <c r="N88" s="6"/>
      <c r="O88" s="27" t="s">
        <v>685</v>
      </c>
      <c r="P88" s="34"/>
      <c r="Q88" s="28" t="s">
        <v>857</v>
      </c>
      <c r="R88" s="29"/>
    </row>
    <row r="89" spans="1:18" ht="17.25" customHeight="1">
      <c r="A89" s="35" t="s">
        <v>858</v>
      </c>
      <c r="B89" s="23" t="str" cm="1">
        <f t="array" ref="B89">_xlfn.TEXTJOIN(", ", TRUE(), _xlfn._xlws.FILTER(Spkrs_Rcrdngs[Speaker],Spkrs_Rcrdngs[Recording]=Rcrdngs[[#This Row],[Text]],"[no speaker selected in Speakers_in_Recordings]"))</f>
        <v>Syria09, Syria10</v>
      </c>
      <c r="C89" s="24" t="str" cm="1">
        <f t="array" ref="C89">_xlfn.TEXTJOIN(", ", TRUE(), _xlfn._xlws.FILTER(Sbcts_Rcrdngs[Subject],Sbcts_Rcrdngs[Recording]=Rcrdngs[[#This Row],[Text]],"[no subject selected in Subjects_in_Recordings]"))</f>
        <v>Consent</v>
      </c>
      <c r="D89" s="25">
        <v>45129</v>
      </c>
      <c r="E89" s="26" t="s">
        <v>795</v>
      </c>
      <c r="F89" s="27" t="s">
        <v>604</v>
      </c>
      <c r="G89" s="27" t="s">
        <v>605</v>
      </c>
      <c r="H89" s="27"/>
      <c r="I89" s="6"/>
      <c r="J89" s="6"/>
      <c r="K89" s="6"/>
      <c r="L89" s="6"/>
      <c r="M89" s="6"/>
      <c r="N89" s="6"/>
      <c r="O89" s="27" t="s">
        <v>685</v>
      </c>
      <c r="P89" s="34"/>
      <c r="Q89" s="28" t="s">
        <v>859</v>
      </c>
      <c r="R89" s="29"/>
    </row>
    <row r="90" spans="1:18" ht="17.25" customHeight="1">
      <c r="A90" s="35"/>
      <c r="B90" s="23" t="str" cm="1">
        <f t="array" ref="B90">_xlfn.TEXTJOIN(", ", TRUE(), _xlfn._xlws.FILTER(Spkrs_Rcrdngs[Speaker],Spkrs_Rcrdngs[Recording]=Rcrdngs[[#This Row],[Text]],"[no speaker selected in Speakers_in_Recordings]"))</f>
        <v/>
      </c>
      <c r="C90" s="24" t="str" cm="1">
        <f t="array" ref="C90">_xlfn.TEXTJOIN(", ", TRUE(), _xlfn._xlws.FILTER(Sbcts_Rcrdngs[Subject],Sbcts_Rcrdngs[Recording]=Rcrdngs[[#This Row],[Text]],"[no subject selected in Subjects_in_Recordings]"))</f>
        <v/>
      </c>
      <c r="D90" s="25"/>
      <c r="E90" s="26"/>
      <c r="F90" s="27"/>
      <c r="G90" s="27"/>
      <c r="H90" s="27"/>
      <c r="I90" s="6"/>
      <c r="J90" s="6"/>
      <c r="K90" s="6"/>
      <c r="L90" s="6"/>
      <c r="M90" s="6"/>
      <c r="N90" s="6"/>
      <c r="O90" s="27"/>
      <c r="P90" s="34"/>
      <c r="Q90" s="28"/>
      <c r="R90" s="29"/>
    </row>
    <row r="91" spans="1:18" ht="17.25" customHeight="1">
      <c r="A91" s="35" t="s">
        <v>70</v>
      </c>
      <c r="B91" s="23" t="str" cm="1">
        <f t="array" ref="B91">_xlfn.TEXTJOIN(", ", TRUE(), _xlfn._xlws.FILTER(Spkrs_Rcrdngs[Speaker],Spkrs_Rcrdngs[Recording]=Rcrdngs[[#This Row],[Text]],"[no speaker selected in Speakers_in_Recordings]"))</f>
        <v>Harran01, Urfa02, Urfa03</v>
      </c>
      <c r="C91" s="24" t="str" cm="1">
        <f t="array" ref="C91">_xlfn.TEXTJOIN(", ", TRUE(), _xlfn._xlws.FILTER(Sbcts_Rcrdngs[Subject],Sbcts_Rcrdngs[Recording]=Rcrdngs[[#This Row],[Text]],"[no subject selected in Subjects_in_Recordings]"))</f>
        <v>Cig kofte</v>
      </c>
      <c r="D91" s="25">
        <v>37104</v>
      </c>
      <c r="E91" s="26" t="s">
        <v>860</v>
      </c>
      <c r="F91" s="27" t="s">
        <v>861</v>
      </c>
      <c r="G91" s="27" t="s">
        <v>605</v>
      </c>
      <c r="H91" s="27" t="s">
        <v>861</v>
      </c>
      <c r="I91" s="6" t="s">
        <v>604</v>
      </c>
      <c r="J91" s="6" t="s">
        <v>861</v>
      </c>
      <c r="K91" s="6" t="s">
        <v>604</v>
      </c>
      <c r="L91" s="6" t="s">
        <v>861</v>
      </c>
      <c r="M91" s="6"/>
      <c r="N91" s="6"/>
      <c r="O91" s="27" t="s">
        <v>862</v>
      </c>
      <c r="P91" s="34"/>
      <c r="Q91" s="28" t="s">
        <v>863</v>
      </c>
      <c r="R91" s="29"/>
    </row>
    <row r="92" spans="1:18" ht="17.25" customHeight="1">
      <c r="A92" s="35" t="s">
        <v>72</v>
      </c>
      <c r="B92" s="23" t="str" cm="1">
        <f t="array" ref="B92">_xlfn.TEXTJOIN(", ", TRUE(), _xlfn._xlws.FILTER(Spkrs_Rcrdngs[Speaker],Spkrs_Rcrdngs[Recording]=Rcrdngs[[#This Row],[Text]],"[no speaker selected in Speakers_in_Recordings]"))</f>
        <v>Harran01, Urfa01, Urfa03</v>
      </c>
      <c r="C92" s="24" t="str" cm="1">
        <f t="array" ref="C92">_xlfn.TEXTJOIN(", ", TRUE(), _xlfn._xlws.FILTER(Sbcts_Rcrdngs[Subject],Sbcts_Rcrdngs[Recording]=Rcrdngs[[#This Row],[Text]],"[no subject selected in Subjects_in_Recordings]"))</f>
        <v>Nimrod</v>
      </c>
      <c r="D92" s="25">
        <v>37105</v>
      </c>
      <c r="E92" s="26" t="s">
        <v>864</v>
      </c>
      <c r="F92" s="27" t="s">
        <v>861</v>
      </c>
      <c r="G92" s="27" t="s">
        <v>605</v>
      </c>
      <c r="H92" s="27" t="s">
        <v>861</v>
      </c>
      <c r="I92" s="6" t="s">
        <v>604</v>
      </c>
      <c r="J92" s="6" t="s">
        <v>861</v>
      </c>
      <c r="K92" s="6" t="s">
        <v>861</v>
      </c>
      <c r="L92" s="6" t="s">
        <v>604</v>
      </c>
      <c r="M92" s="6" t="s">
        <v>604</v>
      </c>
      <c r="N92" s="6"/>
      <c r="O92" s="27" t="s">
        <v>862</v>
      </c>
      <c r="P92" s="57" t="s">
        <v>865</v>
      </c>
      <c r="Q92" s="28" t="s">
        <v>866</v>
      </c>
      <c r="R92" s="29"/>
    </row>
    <row r="93" spans="1:18" ht="17.25" customHeight="1">
      <c r="A93" s="35" t="s">
        <v>74</v>
      </c>
      <c r="B93" s="23" t="str" cm="1">
        <f t="array" ref="B93">_xlfn.TEXTJOIN(", ", TRUE(), _xlfn._xlws.FILTER(Spkrs_Rcrdngs[Speaker],Spkrs_Rcrdngs[Recording]=Rcrdngs[[#This Row],[Text]],"[no speaker selected in Speakers_in_Recordings]"))</f>
        <v>Harran01, Urfa02, Urfa03</v>
      </c>
      <c r="C93" s="24" t="str" cm="1">
        <f t="array" ref="C93">_xlfn.TEXTJOIN(", ", TRUE(), _xlfn._xlws.FILTER(Sbcts_Rcrdngs[Subject],Sbcts_Rcrdngs[Recording]=Rcrdngs[[#This Row],[Text]],"[no subject selected in Subjects_in_Recordings]"))</f>
        <v>Words</v>
      </c>
      <c r="D93" s="25">
        <v>37104</v>
      </c>
      <c r="E93" s="26" t="s">
        <v>867</v>
      </c>
      <c r="F93" s="27" t="s">
        <v>861</v>
      </c>
      <c r="G93" s="27" t="s">
        <v>605</v>
      </c>
      <c r="H93" s="27"/>
      <c r="I93" s="6"/>
      <c r="J93" s="6"/>
      <c r="K93" s="6"/>
      <c r="L93" s="6"/>
      <c r="M93" s="6"/>
      <c r="N93" s="6"/>
      <c r="O93" s="27" t="s">
        <v>862</v>
      </c>
      <c r="P93" s="34"/>
      <c r="Q93" s="28" t="s">
        <v>868</v>
      </c>
      <c r="R93" s="29"/>
    </row>
    <row r="94" spans="1:18" ht="17.25" customHeight="1">
      <c r="A94" s="35" t="s">
        <v>75</v>
      </c>
      <c r="B94" s="23" t="str" cm="1">
        <f t="array" ref="B94">_xlfn.TEXTJOIN(", ", TRUE(), _xlfn._xlws.FILTER(Spkrs_Rcrdngs[Speaker],Spkrs_Rcrdngs[Recording]=Rcrdngs[[#This Row],[Text]],"[no speaker selected in Speakers_in_Recordings]"))</f>
        <v>Harran01, Urfa01</v>
      </c>
      <c r="C94" s="24" t="str" cm="1">
        <f t="array" ref="C94">_xlfn.TEXTJOIN(", ", TRUE(), _xlfn._xlws.FILTER(Sbcts_Rcrdngs[Subject],Sbcts_Rcrdngs[Recording]=Rcrdngs[[#This Row],[Text]],"[no subject selected in Subjects_in_Recordings]"))</f>
        <v>Jokes</v>
      </c>
      <c r="D94" s="25">
        <v>37104</v>
      </c>
      <c r="E94" s="26" t="s">
        <v>869</v>
      </c>
      <c r="F94" s="27" t="s">
        <v>861</v>
      </c>
      <c r="G94" s="27" t="s">
        <v>605</v>
      </c>
      <c r="H94" s="27"/>
      <c r="I94" s="6"/>
      <c r="J94" s="6"/>
      <c r="K94" s="6"/>
      <c r="L94" s="6"/>
      <c r="M94" s="6"/>
      <c r="N94" s="6"/>
      <c r="O94" s="27" t="s">
        <v>862</v>
      </c>
      <c r="P94" s="34"/>
      <c r="Q94" s="28" t="s">
        <v>870</v>
      </c>
      <c r="R94" s="29"/>
    </row>
    <row r="95" spans="1:18" ht="17.25" customHeight="1">
      <c r="A95" s="35" t="s">
        <v>871</v>
      </c>
      <c r="B95" s="23" t="str" cm="1">
        <f t="array" ref="B95">_xlfn.TEXTJOIN(", ", TRUE(), _xlfn._xlws.FILTER(Spkrs_Rcrdngs[Speaker],Spkrs_Rcrdngs[Recording]=Rcrdngs[[#This Row],[Text]],"[no speaker selected in Speakers_in_Recordings]"))</f>
        <v>Harran01, Urfa01</v>
      </c>
      <c r="C95" s="24" t="str" cm="1">
        <f t="array" ref="C95">_xlfn.TEXTJOIN(", ", TRUE(), _xlfn._xlws.FILTER(Sbcts_Rcrdngs[Subject],Sbcts_Rcrdngs[Recording]=Rcrdngs[[#This Row],[Text]],"[no subject selected in Subjects_in_Recordings]"))</f>
        <v>Jokes</v>
      </c>
      <c r="D95" s="25">
        <v>37105</v>
      </c>
      <c r="E95" s="26" t="s">
        <v>872</v>
      </c>
      <c r="F95" s="27" t="s">
        <v>861</v>
      </c>
      <c r="G95" s="27" t="s">
        <v>605</v>
      </c>
      <c r="H95" s="27" t="s">
        <v>861</v>
      </c>
      <c r="I95" s="6" t="s">
        <v>604</v>
      </c>
      <c r="J95" s="6" t="s">
        <v>861</v>
      </c>
      <c r="K95" s="6" t="s">
        <v>604</v>
      </c>
      <c r="L95" s="6" t="s">
        <v>861</v>
      </c>
      <c r="M95" s="6" t="s">
        <v>604</v>
      </c>
      <c r="N95" s="6"/>
      <c r="O95" s="27" t="s">
        <v>862</v>
      </c>
      <c r="P95" s="57" t="s">
        <v>873</v>
      </c>
      <c r="Q95" s="28" t="s">
        <v>874</v>
      </c>
      <c r="R95" s="29"/>
    </row>
    <row r="96" spans="1:18" ht="17.25" customHeight="1">
      <c r="A96" s="35" t="s">
        <v>875</v>
      </c>
      <c r="B96" s="23" t="str" cm="1">
        <f t="array" ref="B96">_xlfn.TEXTJOIN(", ", TRUE(), _xlfn._xlws.FILTER(Spkrs_Rcrdngs[Speaker],Spkrs_Rcrdngs[Recording]=Rcrdngs[[#This Row],[Text]],"[no speaker selected in Speakers_in_Recordings]"))</f>
        <v>Harran01, Urfa01</v>
      </c>
      <c r="C96" s="24" t="str" cm="1">
        <f t="array" ref="C96">_xlfn.TEXTJOIN(", ", TRUE(), _xlfn._xlws.FILTER(Sbcts_Rcrdngs[Subject],Sbcts_Rcrdngs[Recording]=Rcrdngs[[#This Row],[Text]],"[no subject selected in Subjects_in_Recordings]"))</f>
        <v>Blood Feud</v>
      </c>
      <c r="D96" s="25">
        <v>37106</v>
      </c>
      <c r="E96" s="26" t="s">
        <v>876</v>
      </c>
      <c r="F96" s="27" t="s">
        <v>861</v>
      </c>
      <c r="G96" s="27" t="s">
        <v>605</v>
      </c>
      <c r="H96" s="27" t="s">
        <v>861</v>
      </c>
      <c r="I96" s="6" t="s">
        <v>604</v>
      </c>
      <c r="J96" s="6" t="s">
        <v>861</v>
      </c>
      <c r="K96" s="6" t="s">
        <v>604</v>
      </c>
      <c r="L96" s="6" t="s">
        <v>861</v>
      </c>
      <c r="M96" s="6"/>
      <c r="N96" s="6"/>
      <c r="O96" s="27" t="s">
        <v>862</v>
      </c>
      <c r="P96" s="57" t="s">
        <v>873</v>
      </c>
      <c r="Q96" s="28" t="s">
        <v>877</v>
      </c>
      <c r="R96" s="29"/>
    </row>
    <row r="97" spans="1:18" ht="17.25" customHeight="1">
      <c r="A97" s="35" t="s">
        <v>878</v>
      </c>
      <c r="B97" s="23" t="str" cm="1">
        <f t="array" ref="B97">_xlfn.TEXTJOIN(", ", TRUE(), _xlfn._xlws.FILTER(Spkrs_Rcrdngs[Speaker],Spkrs_Rcrdngs[Recording]=Rcrdngs[[#This Row],[Text]],"[no speaker selected in Speakers_in_Recordings]"))</f>
        <v>Harran01, Urfa01</v>
      </c>
      <c r="C97" s="24" t="str" cm="1">
        <f t="array" ref="C97">_xlfn.TEXTJOIN(", ", TRUE(), _xlfn._xlws.FILTER(Sbcts_Rcrdngs[Subject],Sbcts_Rcrdngs[Recording]=Rcrdngs[[#This Row],[Text]],"[no subject selected in Subjects_in_Recordings]"))</f>
        <v>Incomplete Meal</v>
      </c>
      <c r="D97" s="25">
        <v>37107</v>
      </c>
      <c r="E97" s="26" t="s">
        <v>879</v>
      </c>
      <c r="F97" s="27" t="s">
        <v>861</v>
      </c>
      <c r="G97" s="27" t="s">
        <v>605</v>
      </c>
      <c r="H97" s="27" t="s">
        <v>861</v>
      </c>
      <c r="I97" s="6" t="s">
        <v>604</v>
      </c>
      <c r="J97" s="6" t="s">
        <v>861</v>
      </c>
      <c r="K97" s="6" t="s">
        <v>604</v>
      </c>
      <c r="L97" s="6" t="s">
        <v>861</v>
      </c>
      <c r="M97" s="6"/>
      <c r="N97" s="6"/>
      <c r="O97" s="27" t="s">
        <v>862</v>
      </c>
      <c r="P97" s="57" t="s">
        <v>873</v>
      </c>
      <c r="Q97" s="28" t="s">
        <v>880</v>
      </c>
      <c r="R97" s="29"/>
    </row>
    <row r="98" spans="1:18" ht="17.25" customHeight="1">
      <c r="A98" s="35" t="s">
        <v>881</v>
      </c>
      <c r="B98" s="23" t="str" cm="1">
        <f t="array" ref="B98">_xlfn.TEXTJOIN(", ", TRUE(), _xlfn._xlws.FILTER(Spkrs_Rcrdngs[Speaker],Spkrs_Rcrdngs[Recording]=Rcrdngs[[#This Row],[Text]],"[no speaker selected in Speakers_in_Recordings]"))</f>
        <v>Urfa01, Urfa03</v>
      </c>
      <c r="C98" s="24" t="str" cm="1">
        <f t="array" ref="C98">_xlfn.TEXTJOIN(", ", TRUE(), _xlfn._xlws.FILTER(Sbcts_Rcrdngs[Subject],Sbcts_Rcrdngs[Recording]=Rcrdngs[[#This Row],[Text]],"[no subject selected in Subjects_in_Recordings]"))</f>
        <v>Bull</v>
      </c>
      <c r="D98" s="25">
        <v>37108</v>
      </c>
      <c r="E98" s="26" t="s">
        <v>702</v>
      </c>
      <c r="F98" s="27" t="s">
        <v>861</v>
      </c>
      <c r="G98" s="27" t="s">
        <v>605</v>
      </c>
      <c r="H98" s="27" t="s">
        <v>861</v>
      </c>
      <c r="I98" s="6" t="s">
        <v>604</v>
      </c>
      <c r="J98" s="6" t="s">
        <v>861</v>
      </c>
      <c r="K98" s="6" t="s">
        <v>604</v>
      </c>
      <c r="L98" s="6" t="s">
        <v>861</v>
      </c>
      <c r="M98" s="6"/>
      <c r="N98" s="6"/>
      <c r="O98" s="27" t="s">
        <v>862</v>
      </c>
      <c r="P98" s="57" t="s">
        <v>873</v>
      </c>
      <c r="Q98" s="28" t="s">
        <v>882</v>
      </c>
      <c r="R98" s="29"/>
    </row>
    <row r="99" spans="1:18" ht="17.25" customHeight="1">
      <c r="A99" s="35" t="s">
        <v>80</v>
      </c>
      <c r="B99" s="23" t="str" cm="1">
        <f t="array" ref="B99">_xlfn.TEXTJOIN(", ", TRUE(), _xlfn._xlws.FILTER(Spkrs_Rcrdngs[Speaker],Spkrs_Rcrdngs[Recording]=Rcrdngs[[#This Row],[Text]],"[no speaker selected in Speakers_in_Recordings]"))</f>
        <v>Harran01, Harran02</v>
      </c>
      <c r="C99" s="24" t="str" cm="1">
        <f t="array" ref="C99">_xlfn.TEXTJOIN(", ", TRUE(), _xlfn._xlws.FILTER(Sbcts_Rcrdngs[Subject],Sbcts_Rcrdngs[Recording]=Rcrdngs[[#This Row],[Text]],"[no subject selected in Subjects_in_Recordings]"))</f>
        <v>Broker</v>
      </c>
      <c r="D99" s="25">
        <v>40303</v>
      </c>
      <c r="E99" s="26" t="s">
        <v>883</v>
      </c>
      <c r="F99" s="27" t="s">
        <v>861</v>
      </c>
      <c r="G99" s="27" t="s">
        <v>605</v>
      </c>
      <c r="H99" s="27"/>
      <c r="I99" s="6"/>
      <c r="J99" s="6"/>
      <c r="K99" s="6"/>
      <c r="L99" s="6"/>
      <c r="M99" s="6"/>
      <c r="N99" s="6"/>
      <c r="O99" s="27" t="s">
        <v>862</v>
      </c>
      <c r="P99" s="34"/>
      <c r="Q99" s="28" t="s">
        <v>884</v>
      </c>
      <c r="R99" s="29"/>
    </row>
    <row r="100" spans="1:18" ht="17.25" customHeight="1">
      <c r="A100" s="35" t="s">
        <v>81</v>
      </c>
      <c r="B100" s="23" t="str" cm="1">
        <f t="array" ref="B100">_xlfn.TEXTJOIN(", ", TRUE(), _xlfn._xlws.FILTER(Spkrs_Rcrdngs[Speaker],Spkrs_Rcrdngs[Recording]=Rcrdngs[[#This Row],[Text]],"[no speaker selected in Speakers_in_Recordings]"))</f>
        <v>Harran01, Harran02</v>
      </c>
      <c r="C100" s="24" t="str" cm="1">
        <f t="array" ref="C100">_xlfn.TEXTJOIN(", ", TRUE(), _xlfn._xlws.FILTER(Sbcts_Rcrdngs[Subject],Sbcts_Rcrdngs[Recording]=Rcrdngs[[#This Row],[Text]],"[no subject selected in Subjects_in_Recordings]"))</f>
        <v>Arabic Language, The Qoran, Householder</v>
      </c>
      <c r="D100" s="25">
        <v>40303</v>
      </c>
      <c r="E100" s="26" t="s">
        <v>885</v>
      </c>
      <c r="F100" s="27" t="s">
        <v>861</v>
      </c>
      <c r="G100" s="27" t="s">
        <v>605</v>
      </c>
      <c r="H100" s="27"/>
      <c r="I100" s="6"/>
      <c r="J100" s="6"/>
      <c r="K100" s="6"/>
      <c r="L100" s="6"/>
      <c r="M100" s="6"/>
      <c r="N100" s="6"/>
      <c r="O100" s="27" t="s">
        <v>862</v>
      </c>
      <c r="P100" s="34"/>
      <c r="Q100" s="28" t="s">
        <v>886</v>
      </c>
      <c r="R100" s="29"/>
    </row>
    <row r="101" spans="1:18" ht="17.25" customHeight="1">
      <c r="A101" s="35" t="s">
        <v>82</v>
      </c>
      <c r="B101" s="23" t="str" cm="1">
        <f t="array" ref="B101">_xlfn.TEXTJOIN(", ", TRUE(), _xlfn._xlws.FILTER(Spkrs_Rcrdngs[Speaker],Spkrs_Rcrdngs[Recording]=Rcrdngs[[#This Row],[Text]],"[no speaker selected in Speakers_in_Recordings]"))</f>
        <v>Harran01, Harran02</v>
      </c>
      <c r="C101" s="24" t="str" cm="1">
        <f t="array" ref="C101">_xlfn.TEXTJOIN(", ", TRUE(), _xlfn._xlws.FILTER(Sbcts_Rcrdngs[Subject],Sbcts_Rcrdngs[Recording]=Rcrdngs[[#This Row],[Text]],"[no subject selected in Subjects_in_Recordings]"))</f>
        <v>Plants</v>
      </c>
      <c r="D101" s="25">
        <v>40303</v>
      </c>
      <c r="E101" s="26" t="s">
        <v>887</v>
      </c>
      <c r="F101" s="27" t="s">
        <v>861</v>
      </c>
      <c r="G101" s="27" t="s">
        <v>605</v>
      </c>
      <c r="H101" s="27"/>
      <c r="I101" s="6"/>
      <c r="J101" s="6"/>
      <c r="K101" s="6"/>
      <c r="L101" s="6"/>
      <c r="M101" s="6"/>
      <c r="N101" s="6"/>
      <c r="O101" s="27" t="s">
        <v>862</v>
      </c>
      <c r="P101" s="34"/>
      <c r="Q101" s="28" t="s">
        <v>888</v>
      </c>
      <c r="R101" s="29"/>
    </row>
    <row r="102" spans="1:18" ht="17.25" customHeight="1">
      <c r="A102" s="30" t="s">
        <v>83</v>
      </c>
      <c r="B102" s="23" t="str" cm="1">
        <f t="array" ref="B102">_xlfn.TEXTJOIN(", ", TRUE(), _xlfn._xlws.FILTER(Spkrs_Rcrdngs[Speaker],Spkrs_Rcrdngs[Recording]=Rcrdngs[[#This Row],[Text]],"[no speaker selected in Speakers_in_Recordings]"))</f>
        <v>Harran01, Harran02</v>
      </c>
      <c r="C102" s="24" t="str" cm="1">
        <f t="array" ref="C102">_xlfn.TEXTJOIN(", ", TRUE(), _xlfn._xlws.FILTER(Sbcts_Rcrdngs[Subject],Sbcts_Rcrdngs[Recording]=Rcrdngs[[#This Row],[Text]],"[no subject selected in Subjects_in_Recordings]"))</f>
        <v>Tractor, Carriage, Agriculture</v>
      </c>
      <c r="D102" s="25">
        <v>40303</v>
      </c>
      <c r="E102" s="26" t="s">
        <v>889</v>
      </c>
      <c r="F102" s="27" t="s">
        <v>861</v>
      </c>
      <c r="G102" s="27" t="s">
        <v>605</v>
      </c>
      <c r="H102" s="27"/>
      <c r="I102" s="6"/>
      <c r="J102" s="6"/>
      <c r="K102" s="6"/>
      <c r="L102" s="6"/>
      <c r="M102" s="6"/>
      <c r="N102" s="6"/>
      <c r="O102" s="27" t="s">
        <v>862</v>
      </c>
      <c r="P102" s="34"/>
      <c r="Q102" s="34" t="s">
        <v>890</v>
      </c>
      <c r="R102" s="29"/>
    </row>
    <row r="103" spans="1:18" ht="17.25" customHeight="1">
      <c r="A103" s="8" t="s">
        <v>84</v>
      </c>
      <c r="B103" s="12" t="str" cm="1">
        <f t="array" ref="B103">_xlfn.TEXTJOIN(", ", TRUE(), _xlfn._xlws.FILTER(Spkrs_Rcrdngs[Speaker],Spkrs_Rcrdngs[Recording]=Rcrdngs[[#This Row],[Text]],"[no speaker selected in Speakers_in_Recordings]"))</f>
        <v>Harran01, Harran02</v>
      </c>
      <c r="C103" s="24" t="str" cm="1">
        <f t="array" ref="C103">_xlfn.TEXTJOIN(", ", TRUE(), _xlfn._xlws.FILTER(Sbcts_Rcrdngs[Subject],Sbcts_Rcrdngs[Recording]=Rcrdngs[[#This Row],[Text]],"[no subject selected in Subjects_in_Recordings]"))</f>
        <v>Cemeteries</v>
      </c>
      <c r="D103" s="21">
        <v>40303</v>
      </c>
      <c r="E103" s="22" t="s">
        <v>891</v>
      </c>
      <c r="F103" s="6" t="s">
        <v>861</v>
      </c>
      <c r="G103" s="27" t="s">
        <v>605</v>
      </c>
      <c r="H103" s="6" t="s">
        <v>861</v>
      </c>
      <c r="I103" s="6" t="s">
        <v>604</v>
      </c>
      <c r="J103" s="6" t="s">
        <v>861</v>
      </c>
      <c r="K103" s="6" t="s">
        <v>861</v>
      </c>
      <c r="L103" s="6" t="s">
        <v>604</v>
      </c>
      <c r="M103" s="6" t="s">
        <v>604</v>
      </c>
      <c r="N103" s="6"/>
      <c r="O103" s="6" t="s">
        <v>862</v>
      </c>
      <c r="P103" s="56"/>
      <c r="Q103" s="56" t="s">
        <v>892</v>
      </c>
      <c r="R103" s="7" t="s">
        <v>893</v>
      </c>
    </row>
    <row r="104" spans="1:18" ht="17.25" customHeight="1">
      <c r="A104" s="8" t="s">
        <v>85</v>
      </c>
      <c r="B104" s="12" t="str" cm="1">
        <f t="array" ref="B104">_xlfn.TEXTJOIN(", ", TRUE(), _xlfn._xlws.FILTER(Spkrs_Rcrdngs[Speaker],Spkrs_Rcrdngs[Recording]=Rcrdngs[[#This Row],[Text]],"[no speaker selected in Speakers_in_Recordings]"))</f>
        <v>Harran01, Harran02</v>
      </c>
      <c r="C104" s="55" t="str" cm="1">
        <f t="array" ref="C104">_xlfn.TEXTJOIN(", ", TRUE(), _xlfn._xlws.FILTER(Sbcts_Rcrdngs[Subject],Sbcts_Rcrdngs[Recording]=Rcrdngs[[#This Row],[Text]],"[no subject selected in Subjects_in_Recordings]"))</f>
        <v>Thistles, Lentils</v>
      </c>
      <c r="D104" s="21">
        <v>40303</v>
      </c>
      <c r="E104" s="22" t="s">
        <v>894</v>
      </c>
      <c r="F104" s="6" t="s">
        <v>861</v>
      </c>
      <c r="G104" s="27" t="s">
        <v>605</v>
      </c>
      <c r="H104" s="6" t="s">
        <v>861</v>
      </c>
      <c r="I104" s="6" t="s">
        <v>895</v>
      </c>
      <c r="J104" s="6" t="s">
        <v>604</v>
      </c>
      <c r="K104" s="6" t="s">
        <v>861</v>
      </c>
      <c r="L104" s="6" t="s">
        <v>895</v>
      </c>
      <c r="M104" s="6" t="s">
        <v>604</v>
      </c>
      <c r="N104" s="6"/>
      <c r="O104" s="6" t="s">
        <v>862</v>
      </c>
      <c r="P104" s="56"/>
      <c r="Q104" s="56" t="s">
        <v>896</v>
      </c>
      <c r="R104" s="7" t="s">
        <v>893</v>
      </c>
    </row>
    <row r="105" spans="1:18" ht="17.25" customHeight="1">
      <c r="A105" s="35" t="s">
        <v>86</v>
      </c>
      <c r="B105" s="23" t="str" cm="1">
        <f t="array" ref="B105">_xlfn.TEXTJOIN(", ", TRUE(), _xlfn._xlws.FILTER(Spkrs_Rcrdngs[Speaker],Spkrs_Rcrdngs[Recording]=Rcrdngs[[#This Row],[Text]],"[no speaker selected in Speakers_in_Recordings]"))</f>
        <v>Harran02, Harran08, Harran27, Harran28</v>
      </c>
      <c r="C105" s="24" t="str" cm="1">
        <f t="array" ref="C105">_xlfn.TEXTJOIN(", ", TRUE(), _xlfn._xlws.FILTER(Sbcts_Rcrdngs[Subject],Sbcts_Rcrdngs[Recording]=Rcrdngs[[#This Row],[Text]],"[no subject selected in Subjects_in_Recordings]"))</f>
        <v>Snake Killing</v>
      </c>
      <c r="D105" s="25">
        <v>40303</v>
      </c>
      <c r="E105" s="26" t="s">
        <v>897</v>
      </c>
      <c r="F105" s="27" t="s">
        <v>861</v>
      </c>
      <c r="G105" s="27" t="s">
        <v>605</v>
      </c>
      <c r="H105" s="27" t="s">
        <v>861</v>
      </c>
      <c r="I105" s="6" t="s">
        <v>604</v>
      </c>
      <c r="J105" s="6" t="s">
        <v>861</v>
      </c>
      <c r="K105" s="6" t="s">
        <v>604</v>
      </c>
      <c r="L105" s="6" t="s">
        <v>861</v>
      </c>
      <c r="M105" s="6"/>
      <c r="N105" s="6"/>
      <c r="O105" s="27" t="s">
        <v>862</v>
      </c>
      <c r="P105" s="34"/>
      <c r="Q105" s="28" t="s">
        <v>898</v>
      </c>
      <c r="R105" s="29"/>
    </row>
    <row r="106" spans="1:18" ht="17.25" customHeight="1">
      <c r="A106" s="30" t="s">
        <v>87</v>
      </c>
      <c r="B106" s="23" t="str" cm="1">
        <f t="array" ref="B106">_xlfn.TEXTJOIN(", ", TRUE(), _xlfn._xlws.FILTER(Spkrs_Rcrdngs[Speaker],Spkrs_Rcrdngs[Recording]=Rcrdngs[[#This Row],[Text]],"[no speaker selected in Speakers_in_Recordings]"))</f>
        <v>Harran01, Harran02, Harran08</v>
      </c>
      <c r="C106" s="24" t="str" cm="1">
        <f t="array" ref="C106">_xlfn.TEXTJOIN(", ", TRUE(), _xlfn._xlws.FILTER(Sbcts_Rcrdngs[Subject],Sbcts_Rcrdngs[Recording]=Rcrdngs[[#This Row],[Text]],"[no subject selected in Subjects_in_Recordings]"))</f>
        <v>Old Houses, Story from the Village of Qoran</v>
      </c>
      <c r="D106" s="25">
        <v>40303</v>
      </c>
      <c r="E106" s="26" t="s">
        <v>899</v>
      </c>
      <c r="F106" s="6" t="s">
        <v>861</v>
      </c>
      <c r="G106" s="27" t="s">
        <v>605</v>
      </c>
      <c r="H106" s="6" t="s">
        <v>861</v>
      </c>
      <c r="I106" s="6" t="s">
        <v>604</v>
      </c>
      <c r="J106" s="6" t="s">
        <v>861</v>
      </c>
      <c r="K106" s="6" t="s">
        <v>604</v>
      </c>
      <c r="L106" s="6" t="s">
        <v>861</v>
      </c>
      <c r="M106" s="6" t="s">
        <v>604</v>
      </c>
      <c r="N106" s="6"/>
      <c r="O106" s="27" t="s">
        <v>862</v>
      </c>
      <c r="P106" s="34"/>
      <c r="Q106" s="34" t="s">
        <v>900</v>
      </c>
      <c r="R106" s="29"/>
    </row>
    <row r="107" spans="1:18" ht="17.25" customHeight="1">
      <c r="A107" s="35" t="s">
        <v>88</v>
      </c>
      <c r="B107" s="23" t="str" cm="1">
        <f t="array" ref="B107">_xlfn.TEXTJOIN(", ", TRUE(), _xlfn._xlws.FILTER(Spkrs_Rcrdngs[Speaker],Spkrs_Rcrdngs[Recording]=Rcrdngs[[#This Row],[Text]],"[no speaker selected in Speakers_in_Recordings]"))</f>
        <v>Harran01, Harran02</v>
      </c>
      <c r="C107" s="24" t="str" cm="1">
        <f t="array" ref="C107">_xlfn.TEXTJOIN(", ", TRUE(), _xlfn._xlws.FILTER(Sbcts_Rcrdngs[Subject],Sbcts_Rcrdngs[Recording]=Rcrdngs[[#This Row],[Text]],"[no subject selected in Subjects_in_Recordings]"))</f>
        <v>Short</v>
      </c>
      <c r="D107" s="25">
        <v>40303</v>
      </c>
      <c r="E107" s="26" t="s">
        <v>901</v>
      </c>
      <c r="F107" s="27" t="s">
        <v>861</v>
      </c>
      <c r="G107" s="27" t="s">
        <v>605</v>
      </c>
      <c r="H107" s="27"/>
      <c r="I107" s="6"/>
      <c r="J107" s="6"/>
      <c r="K107" s="6"/>
      <c r="L107" s="6"/>
      <c r="M107" s="6"/>
      <c r="N107" s="6"/>
      <c r="O107" s="27" t="s">
        <v>862</v>
      </c>
      <c r="P107" s="34"/>
      <c r="Q107" s="28" t="s">
        <v>902</v>
      </c>
      <c r="R107" s="29"/>
    </row>
    <row r="108" spans="1:18" ht="17.25" customHeight="1">
      <c r="A108" s="35" t="s">
        <v>89</v>
      </c>
      <c r="B108" s="23" t="str" cm="1">
        <f t="array" ref="B108">_xlfn.TEXTJOIN(", ", TRUE(), _xlfn._xlws.FILTER(Spkrs_Rcrdngs[Speaker],Spkrs_Rcrdngs[Recording]=Rcrdngs[[#This Row],[Text]],"[no speaker selected in Speakers_in_Recordings]"))</f>
        <v>Harran01, Harran02</v>
      </c>
      <c r="C108" s="24" t="str" cm="1">
        <f t="array" ref="C108">_xlfn.TEXTJOIN(", ", TRUE(), _xlfn._xlws.FILTER(Sbcts_Rcrdngs[Subject],Sbcts_Rcrdngs[Recording]=Rcrdngs[[#This Row],[Text]],"[no subject selected in Subjects_in_Recordings]"))</f>
        <v>Milk Bread</v>
      </c>
      <c r="D108" s="25">
        <v>40303</v>
      </c>
      <c r="E108" s="26" t="s">
        <v>903</v>
      </c>
      <c r="F108" s="27" t="s">
        <v>861</v>
      </c>
      <c r="G108" s="27" t="s">
        <v>605</v>
      </c>
      <c r="H108" s="27"/>
      <c r="I108" s="6"/>
      <c r="J108" s="6"/>
      <c r="K108" s="6"/>
      <c r="L108" s="6"/>
      <c r="M108" s="6"/>
      <c r="N108" s="6"/>
      <c r="O108" s="27" t="s">
        <v>862</v>
      </c>
      <c r="P108" s="34"/>
      <c r="Q108" s="28" t="s">
        <v>904</v>
      </c>
      <c r="R108" s="29"/>
    </row>
    <row r="109" spans="1:18" ht="17.25" customHeight="1">
      <c r="A109" s="35" t="s">
        <v>90</v>
      </c>
      <c r="B109" s="23" t="str" cm="1">
        <f t="array" ref="B109">_xlfn.TEXTJOIN(", ", TRUE(), _xlfn._xlws.FILTER(Spkrs_Rcrdngs[Speaker],Spkrs_Rcrdngs[Recording]=Rcrdngs[[#This Row],[Text]],"[no speaker selected in Speakers_in_Recordings]"))</f>
        <v>Harran01, Harran02</v>
      </c>
      <c r="C109" s="24" t="str" cm="1">
        <f t="array" ref="C109">_xlfn.TEXTJOIN(", ", TRUE(), _xlfn._xlws.FILTER(Sbcts_Rcrdngs[Subject],Sbcts_Rcrdngs[Recording]=Rcrdngs[[#This Row],[Text]],"[no subject selected in Subjects_in_Recordings]"))</f>
        <v>Home Furnishings, Describing a House, Electricity, Water</v>
      </c>
      <c r="D109" s="25">
        <v>40303</v>
      </c>
      <c r="E109" s="26" t="s">
        <v>905</v>
      </c>
      <c r="F109" s="27" t="s">
        <v>861</v>
      </c>
      <c r="G109" s="27" t="s">
        <v>605</v>
      </c>
      <c r="H109" s="27"/>
      <c r="I109" s="6"/>
      <c r="J109" s="6"/>
      <c r="K109" s="6"/>
      <c r="L109" s="6"/>
      <c r="M109" s="6"/>
      <c r="N109" s="6"/>
      <c r="O109" s="27" t="s">
        <v>862</v>
      </c>
      <c r="P109" s="34"/>
      <c r="Q109" s="28" t="s">
        <v>906</v>
      </c>
      <c r="R109" s="29"/>
    </row>
    <row r="110" spans="1:18" ht="17.25" customHeight="1">
      <c r="A110" s="35" t="s">
        <v>91</v>
      </c>
      <c r="B110" s="23" t="str" cm="1">
        <f t="array" ref="B110">_xlfn.TEXTJOIN(", ", TRUE(), _xlfn._xlws.FILTER(Spkrs_Rcrdngs[Speaker],Spkrs_Rcrdngs[Recording]=Rcrdngs[[#This Row],[Text]],"[no speaker selected in Speakers_in_Recordings]"))</f>
        <v>Harran01, Harran02</v>
      </c>
      <c r="C110" s="24" t="str" cm="1">
        <f t="array" ref="C110">_xlfn.TEXTJOIN(", ", TRUE(), _xlfn._xlws.FILTER(Sbcts_Rcrdngs[Subject],Sbcts_Rcrdngs[Recording]=Rcrdngs[[#This Row],[Text]],"[no subject selected in Subjects_in_Recordings]"))</f>
        <v>Wedding</v>
      </c>
      <c r="D110" s="25">
        <v>40304</v>
      </c>
      <c r="E110" s="26" t="s">
        <v>818</v>
      </c>
      <c r="F110" s="27" t="s">
        <v>861</v>
      </c>
      <c r="G110" s="27" t="s">
        <v>605</v>
      </c>
      <c r="H110" s="27"/>
      <c r="I110" s="6"/>
      <c r="J110" s="6"/>
      <c r="K110" s="6"/>
      <c r="L110" s="6"/>
      <c r="M110" s="6"/>
      <c r="N110" s="6"/>
      <c r="O110" s="27" t="s">
        <v>862</v>
      </c>
      <c r="P110" s="34"/>
      <c r="Q110" s="28" t="s">
        <v>907</v>
      </c>
      <c r="R110" s="29"/>
    </row>
    <row r="111" spans="1:18" ht="17.25" customHeight="1">
      <c r="A111" s="30" t="s">
        <v>92</v>
      </c>
      <c r="B111" s="23" t="str" cm="1">
        <f t="array" ref="B111">_xlfn.TEXTJOIN(", ", TRUE(), _xlfn._xlws.FILTER(Spkrs_Rcrdngs[Speaker],Spkrs_Rcrdngs[Recording]=Rcrdngs[[#This Row],[Text]],"[no speaker selected in Speakers_in_Recordings]"))</f>
        <v>Harran01, Harran02</v>
      </c>
      <c r="C111" s="24" t="str" cm="1">
        <f t="array" ref="C111">_xlfn.TEXTJOIN(", ", TRUE(), _xlfn._xlws.FILTER(Sbcts_Rcrdngs[Subject],Sbcts_Rcrdngs[Recording]=Rcrdngs[[#This Row],[Text]],"[no subject selected in Subjects_in_Recordings]"))</f>
        <v xml:space="preserve">Word Zihid </v>
      </c>
      <c r="D111" s="25">
        <v>40304</v>
      </c>
      <c r="E111" s="26" t="s">
        <v>908</v>
      </c>
      <c r="F111" s="27" t="s">
        <v>861</v>
      </c>
      <c r="G111" s="27" t="s">
        <v>605</v>
      </c>
      <c r="H111" s="27"/>
      <c r="I111" s="6"/>
      <c r="J111" s="6"/>
      <c r="K111" s="6"/>
      <c r="L111" s="6"/>
      <c r="M111" s="6"/>
      <c r="N111" s="6"/>
      <c r="O111" s="27" t="s">
        <v>862</v>
      </c>
      <c r="P111" s="34"/>
      <c r="Q111" s="34" t="s">
        <v>909</v>
      </c>
      <c r="R111" s="29"/>
    </row>
    <row r="112" spans="1:18" ht="17.25" customHeight="1">
      <c r="A112" s="35" t="s">
        <v>93</v>
      </c>
      <c r="B112" s="23" t="str" cm="1">
        <f t="array" ref="B112">_xlfn.TEXTJOIN(", ", TRUE(), _xlfn._xlws.FILTER(Spkrs_Rcrdngs[Speaker],Spkrs_Rcrdngs[Recording]=Rcrdngs[[#This Row],[Text]],"[no speaker selected in Speakers_in_Recordings]"))</f>
        <v>Harran01, Harran02</v>
      </c>
      <c r="C112" s="24" t="str" cm="1">
        <f t="array" ref="C112">_xlfn.TEXTJOIN(", ", TRUE(), _xlfn._xlws.FILTER(Sbcts_Rcrdngs[Subject],Sbcts_Rcrdngs[Recording]=Rcrdngs[[#This Row],[Text]],"[no subject selected in Subjects_in_Recordings]"))</f>
        <v>Vegetables, Seasonal Work</v>
      </c>
      <c r="D112" s="25">
        <v>40304</v>
      </c>
      <c r="E112" s="26" t="s">
        <v>910</v>
      </c>
      <c r="F112" s="6" t="s">
        <v>861</v>
      </c>
      <c r="G112" s="27" t="s">
        <v>605</v>
      </c>
      <c r="H112" s="6" t="s">
        <v>861</v>
      </c>
      <c r="I112" s="6" t="s">
        <v>895</v>
      </c>
      <c r="J112" s="6" t="s">
        <v>861</v>
      </c>
      <c r="K112" s="6" t="s">
        <v>895</v>
      </c>
      <c r="L112" s="6" t="s">
        <v>861</v>
      </c>
      <c r="M112" s="6" t="s">
        <v>604</v>
      </c>
      <c r="N112" s="6"/>
      <c r="O112" s="27" t="s">
        <v>862</v>
      </c>
      <c r="P112" s="34"/>
      <c r="Q112" s="28" t="s">
        <v>911</v>
      </c>
      <c r="R112" s="29"/>
    </row>
    <row r="113" spans="1:18" ht="17.25" customHeight="1">
      <c r="A113" s="35" t="s">
        <v>94</v>
      </c>
      <c r="B113" s="23" t="str" cm="1">
        <f t="array" ref="B113">_xlfn.TEXTJOIN(", ", TRUE(), _xlfn._xlws.FILTER(Spkrs_Rcrdngs[Speaker],Spkrs_Rcrdngs[Recording]=Rcrdngs[[#This Row],[Text]],"[no speaker selected in Speakers_in_Recordings]"))</f>
        <v>Harran01, Harran02</v>
      </c>
      <c r="C113" s="24" t="str" cm="1">
        <f t="array" ref="C113">_xlfn.TEXTJOIN(", ", TRUE(), _xlfn._xlws.FILTER(Sbcts_Rcrdngs[Subject],Sbcts_Rcrdngs[Recording]=Rcrdngs[[#This Row],[Text]],"[no subject selected in Subjects_in_Recordings]"))</f>
        <v>Vegetables, Seasonal Work</v>
      </c>
      <c r="D113" s="25">
        <v>40304</v>
      </c>
      <c r="E113" s="26" t="s">
        <v>910</v>
      </c>
      <c r="F113" s="6" t="s">
        <v>861</v>
      </c>
      <c r="G113" s="27" t="s">
        <v>605</v>
      </c>
      <c r="H113" s="6" t="s">
        <v>861</v>
      </c>
      <c r="I113" s="6" t="s">
        <v>895</v>
      </c>
      <c r="J113" s="6" t="s">
        <v>861</v>
      </c>
      <c r="K113" s="6" t="s">
        <v>895</v>
      </c>
      <c r="L113" s="6" t="s">
        <v>861</v>
      </c>
      <c r="M113" s="6" t="s">
        <v>604</v>
      </c>
      <c r="N113" s="6"/>
      <c r="O113" s="27" t="s">
        <v>862</v>
      </c>
      <c r="P113" s="34"/>
      <c r="Q113" s="28" t="s">
        <v>911</v>
      </c>
      <c r="R113" s="29"/>
    </row>
    <row r="114" spans="1:18" ht="17.25" customHeight="1">
      <c r="A114" s="35" t="s">
        <v>95</v>
      </c>
      <c r="B114" s="23" t="str" cm="1">
        <f t="array" ref="B114">_xlfn.TEXTJOIN(", ", TRUE(), _xlfn._xlws.FILTER(Spkrs_Rcrdngs[Speaker],Spkrs_Rcrdngs[Recording]=Rcrdngs[[#This Row],[Text]],"[no speaker selected in Speakers_in_Recordings]"))</f>
        <v>Harran01, Harran02, Harran05</v>
      </c>
      <c r="C114" s="24" t="str" cm="1">
        <f t="array" ref="C114">_xlfn.TEXTJOIN(", ", TRUE(), _xlfn._xlws.FILTER(Sbcts_Rcrdngs[Subject],Sbcts_Rcrdngs[Recording]=Rcrdngs[[#This Row],[Text]],"[no subject selected in Subjects_in_Recordings]"))</f>
        <v>Village of Mahawi, The Ottomans</v>
      </c>
      <c r="D114" s="25">
        <v>40304</v>
      </c>
      <c r="E114" s="26" t="s">
        <v>912</v>
      </c>
      <c r="F114" s="27" t="s">
        <v>861</v>
      </c>
      <c r="G114" s="27" t="s">
        <v>605</v>
      </c>
      <c r="H114" s="27"/>
      <c r="I114" s="6"/>
      <c r="J114" s="6"/>
      <c r="K114" s="6"/>
      <c r="L114" s="6"/>
      <c r="M114" s="6"/>
      <c r="N114" s="6"/>
      <c r="O114" s="27" t="s">
        <v>862</v>
      </c>
      <c r="P114" s="34"/>
      <c r="Q114" s="28" t="s">
        <v>913</v>
      </c>
      <c r="R114" s="29"/>
    </row>
    <row r="115" spans="1:18" ht="17.25" customHeight="1">
      <c r="A115" s="30" t="s">
        <v>96</v>
      </c>
      <c r="B115" s="23" t="str" cm="1">
        <f t="array" ref="B115">_xlfn.TEXTJOIN(", ", TRUE(), _xlfn._xlws.FILTER(Spkrs_Rcrdngs[Speaker],Spkrs_Rcrdngs[Recording]=Rcrdngs[[#This Row],[Text]],"[no speaker selected in Speakers_in_Recordings]"))</f>
        <v>Harran01, Harran02, Harran05, Harran08</v>
      </c>
      <c r="C115" s="24" t="str" cm="1">
        <f t="array" ref="C115">_xlfn.TEXTJOIN(", ", TRUE(), _xlfn._xlws.FILTER(Sbcts_Rcrdngs[Subject],Sbcts_Rcrdngs[Recording]=Rcrdngs[[#This Row],[Text]],"[no subject selected in Subjects_in_Recordings]"))</f>
        <v>Cultivation, Former Times</v>
      </c>
      <c r="D115" s="25">
        <v>40304</v>
      </c>
      <c r="E115" s="26" t="s">
        <v>914</v>
      </c>
      <c r="F115" s="6" t="s">
        <v>861</v>
      </c>
      <c r="G115" s="27" t="s">
        <v>605</v>
      </c>
      <c r="H115" s="6" t="s">
        <v>861</v>
      </c>
      <c r="I115" s="6" t="s">
        <v>604</v>
      </c>
      <c r="J115" s="6" t="s">
        <v>861</v>
      </c>
      <c r="K115" s="6" t="s">
        <v>604</v>
      </c>
      <c r="L115" s="6" t="s">
        <v>861</v>
      </c>
      <c r="M115" s="6" t="s">
        <v>604</v>
      </c>
      <c r="N115" s="6"/>
      <c r="O115" s="27" t="s">
        <v>862</v>
      </c>
      <c r="P115" s="34"/>
      <c r="Q115" s="34" t="s">
        <v>915</v>
      </c>
      <c r="R115" s="29"/>
    </row>
    <row r="116" spans="1:18" ht="17.25" customHeight="1">
      <c r="A116" s="30" t="s">
        <v>97</v>
      </c>
      <c r="B116" s="23" t="str" cm="1">
        <f t="array" ref="B116">_xlfn.TEXTJOIN(", ", TRUE(), _xlfn._xlws.FILTER(Spkrs_Rcrdngs[Speaker],Spkrs_Rcrdngs[Recording]=Rcrdngs[[#This Row],[Text]],"[no speaker selected in Speakers_in_Recordings]"))</f>
        <v>Harran01, Harran02, Harran08, Harran24</v>
      </c>
      <c r="C116" s="24" t="str" cm="1">
        <f t="array" ref="C116">_xlfn.TEXTJOIN(", ", TRUE(), _xlfn._xlws.FILTER(Sbcts_Rcrdngs[Subject],Sbcts_Rcrdngs[Recording]=Rcrdngs[[#This Row],[Text]],"[no subject selected in Subjects_in_Recordings]"))</f>
        <v>Tobacco</v>
      </c>
      <c r="D116" s="25">
        <v>40304</v>
      </c>
      <c r="E116" s="26" t="s">
        <v>916</v>
      </c>
      <c r="F116" s="27" t="s">
        <v>861</v>
      </c>
      <c r="G116" s="27" t="s">
        <v>605</v>
      </c>
      <c r="H116" s="27" t="s">
        <v>861</v>
      </c>
      <c r="I116" s="6" t="s">
        <v>604</v>
      </c>
      <c r="J116" s="6" t="s">
        <v>861</v>
      </c>
      <c r="K116" s="6" t="s">
        <v>861</v>
      </c>
      <c r="L116" s="6" t="s">
        <v>604</v>
      </c>
      <c r="M116" s="6" t="s">
        <v>604</v>
      </c>
      <c r="N116" s="6"/>
      <c r="O116" s="27" t="s">
        <v>862</v>
      </c>
      <c r="P116" s="34"/>
      <c r="Q116" s="34" t="s">
        <v>917</v>
      </c>
      <c r="R116" s="29"/>
    </row>
    <row r="117" spans="1:18" ht="17.25" customHeight="1">
      <c r="A117" s="30" t="s">
        <v>98</v>
      </c>
      <c r="B117" s="23" t="str" cm="1">
        <f t="array" ref="B117">_xlfn.TEXTJOIN(", ", TRUE(), _xlfn._xlws.FILTER(Spkrs_Rcrdngs[Speaker],Spkrs_Rcrdngs[Recording]=Rcrdngs[[#This Row],[Text]],"[no speaker selected in Speakers_in_Recordings]"))</f>
        <v>Harran01, Harran02</v>
      </c>
      <c r="C117" s="24" t="str" cm="1">
        <f t="array" ref="C117">_xlfn.TEXTJOIN(", ", TRUE(), _xlfn._xlws.FILTER(Sbcts_Rcrdngs[Subject],Sbcts_Rcrdngs[Recording]=Rcrdngs[[#This Row],[Text]],"[no subject selected in Subjects_in_Recordings]"))</f>
        <v>Abdalqadir</v>
      </c>
      <c r="D117" s="25">
        <v>40304</v>
      </c>
      <c r="E117" s="26" t="s">
        <v>918</v>
      </c>
      <c r="F117" s="27" t="s">
        <v>861</v>
      </c>
      <c r="G117" s="27" t="s">
        <v>605</v>
      </c>
      <c r="H117" s="27"/>
      <c r="I117" s="6"/>
      <c r="J117" s="6"/>
      <c r="K117" s="6"/>
      <c r="L117" s="6"/>
      <c r="M117" s="6"/>
      <c r="N117" s="6"/>
      <c r="O117" s="27" t="s">
        <v>862</v>
      </c>
      <c r="P117" s="34"/>
      <c r="Q117" s="34" t="s">
        <v>919</v>
      </c>
      <c r="R117" s="29"/>
    </row>
    <row r="118" spans="1:18" ht="17.25" customHeight="1">
      <c r="A118" s="35" t="s">
        <v>99</v>
      </c>
      <c r="B118" s="23" t="str" cm="1">
        <f t="array" ref="B118">_xlfn.TEXTJOIN(", ", TRUE(), _xlfn._xlws.FILTER(Spkrs_Rcrdngs[Speaker],Spkrs_Rcrdngs[Recording]=Rcrdngs[[#This Row],[Text]],"[no speaker selected in Speakers_in_Recordings]"))</f>
        <v>Harran01, Harran02</v>
      </c>
      <c r="C118" s="24" t="str" cm="1">
        <f t="array" ref="C118">_xlfn.TEXTJOIN(", ", TRUE(), _xlfn._xlws.FILTER(Sbcts_Rcrdngs[Subject],Sbcts_Rcrdngs[Recording]=Rcrdngs[[#This Row],[Text]],"[no subject selected in Subjects_in_Recordings]"))</f>
        <v>Ali</v>
      </c>
      <c r="D118" s="25">
        <v>40304</v>
      </c>
      <c r="E118" s="26" t="s">
        <v>920</v>
      </c>
      <c r="F118" s="27" t="s">
        <v>861</v>
      </c>
      <c r="G118" s="27" t="s">
        <v>605</v>
      </c>
      <c r="H118" s="27" t="s">
        <v>861</v>
      </c>
      <c r="I118" s="6" t="s">
        <v>604</v>
      </c>
      <c r="J118" s="6" t="s">
        <v>861</v>
      </c>
      <c r="K118" s="6" t="s">
        <v>604</v>
      </c>
      <c r="L118" s="6" t="s">
        <v>861</v>
      </c>
      <c r="M118" s="6" t="s">
        <v>604</v>
      </c>
      <c r="N118" s="6"/>
      <c r="O118" s="27" t="s">
        <v>862</v>
      </c>
      <c r="P118" s="34"/>
      <c r="Q118" s="28" t="s">
        <v>921</v>
      </c>
      <c r="R118" s="29"/>
    </row>
    <row r="119" spans="1:18" ht="17.25" customHeight="1">
      <c r="A119" s="30" t="s">
        <v>100</v>
      </c>
      <c r="B119" s="23" t="str" cm="1">
        <f t="array" ref="B119">_xlfn.TEXTJOIN(", ", TRUE(), _xlfn._xlws.FILTER(Spkrs_Rcrdngs[Speaker],Spkrs_Rcrdngs[Recording]=Rcrdngs[[#This Row],[Text]],"[no speaker selected in Speakers_in_Recordings]"))</f>
        <v>Harran01, Harran02</v>
      </c>
      <c r="C119" s="24" t="str" cm="1">
        <f t="array" ref="C119">_xlfn.TEXTJOIN(", ", TRUE(), _xlfn._xlws.FILTER(Sbcts_Rcrdngs[Subject],Sbcts_Rcrdngs[Recording]=Rcrdngs[[#This Row],[Text]],"[no subject selected in Subjects_in_Recordings]"))</f>
        <v>Sheikh Nifil</v>
      </c>
      <c r="D119" s="25">
        <v>40304</v>
      </c>
      <c r="E119" s="26" t="s">
        <v>922</v>
      </c>
      <c r="F119" s="6" t="s">
        <v>861</v>
      </c>
      <c r="G119" s="27" t="s">
        <v>605</v>
      </c>
      <c r="H119" s="6" t="s">
        <v>861</v>
      </c>
      <c r="I119" s="6" t="s">
        <v>604</v>
      </c>
      <c r="J119" s="6" t="s">
        <v>861</v>
      </c>
      <c r="K119" s="6" t="s">
        <v>604</v>
      </c>
      <c r="L119" s="6" t="s">
        <v>861</v>
      </c>
      <c r="M119" s="6" t="s">
        <v>604</v>
      </c>
      <c r="N119" s="6"/>
      <c r="O119" s="27" t="s">
        <v>862</v>
      </c>
      <c r="P119" s="34"/>
      <c r="Q119" s="34" t="s">
        <v>923</v>
      </c>
      <c r="R119" s="29"/>
    </row>
    <row r="120" spans="1:18" ht="17.25" customHeight="1">
      <c r="A120" s="30" t="s">
        <v>101</v>
      </c>
      <c r="B120" s="23" t="str" cm="1">
        <f t="array" ref="B120">_xlfn.TEXTJOIN(", ", TRUE(), _xlfn._xlws.FILTER(Spkrs_Rcrdngs[Speaker],Spkrs_Rcrdngs[Recording]=Rcrdngs[[#This Row],[Text]],"[no speaker selected in Speakers_in_Recordings]"))</f>
        <v>Harran01, Harran02</v>
      </c>
      <c r="C120" s="24" t="str" cm="1">
        <f t="array" ref="C120">_xlfn.TEXTJOIN(", ", TRUE(), _xlfn._xlws.FILTER(Sbcts_Rcrdngs[Subject],Sbcts_Rcrdngs[Recording]=Rcrdngs[[#This Row],[Text]],"[no subject selected in Subjects_in_Recordings]"))</f>
        <v>Liquorice</v>
      </c>
      <c r="D120" s="25">
        <v>40305</v>
      </c>
      <c r="E120" s="26" t="s">
        <v>924</v>
      </c>
      <c r="F120" s="6" t="s">
        <v>861</v>
      </c>
      <c r="G120" s="27" t="s">
        <v>605</v>
      </c>
      <c r="H120" s="6" t="s">
        <v>861</v>
      </c>
      <c r="I120" s="6" t="s">
        <v>604</v>
      </c>
      <c r="J120" s="6" t="s">
        <v>861</v>
      </c>
      <c r="K120" s="6" t="s">
        <v>861</v>
      </c>
      <c r="L120" s="6" t="s">
        <v>604</v>
      </c>
      <c r="M120" s="6" t="s">
        <v>604</v>
      </c>
      <c r="N120" s="6"/>
      <c r="O120" s="27" t="s">
        <v>862</v>
      </c>
      <c r="P120" s="34"/>
      <c r="Q120" s="34" t="s">
        <v>925</v>
      </c>
      <c r="R120" s="29"/>
    </row>
    <row r="121" spans="1:18" ht="17.25" customHeight="1">
      <c r="A121" s="30" t="s">
        <v>102</v>
      </c>
      <c r="B121" s="23" t="str" cm="1">
        <f t="array" ref="B121">_xlfn.TEXTJOIN(", ", TRUE(), _xlfn._xlws.FILTER(Spkrs_Rcrdngs[Speaker],Spkrs_Rcrdngs[Recording]=Rcrdngs[[#This Row],[Text]],"[no speaker selected in Speakers_in_Recordings]"))</f>
        <v>Harran01, Harran02</v>
      </c>
      <c r="C121" s="24" t="str" cm="1">
        <f t="array" ref="C121">_xlfn.TEXTJOIN(", ", TRUE(), _xlfn._xlws.FILTER(Sbcts_Rcrdngs[Subject],Sbcts_Rcrdngs[Recording]=Rcrdngs[[#This Row],[Text]],"[no subject selected in Subjects_in_Recordings]"))</f>
        <v xml:space="preserve">Bala Gafi (formal expression) </v>
      </c>
      <c r="D121" s="25">
        <v>40305</v>
      </c>
      <c r="E121" s="26" t="s">
        <v>908</v>
      </c>
      <c r="F121" s="27" t="s">
        <v>861</v>
      </c>
      <c r="G121" s="27" t="s">
        <v>605</v>
      </c>
      <c r="H121" s="27"/>
      <c r="I121" s="6"/>
      <c r="J121" s="6"/>
      <c r="K121" s="6"/>
      <c r="L121" s="6"/>
      <c r="M121" s="6"/>
      <c r="N121" s="6"/>
      <c r="O121" s="27" t="s">
        <v>862</v>
      </c>
      <c r="P121" s="34"/>
      <c r="Q121" s="34" t="s">
        <v>926</v>
      </c>
      <c r="R121" s="29"/>
    </row>
    <row r="122" spans="1:18" ht="17.25" customHeight="1">
      <c r="A122" s="30" t="s">
        <v>103</v>
      </c>
      <c r="B122" s="23" t="str" cm="1">
        <f t="array" ref="B122">_xlfn.TEXTJOIN(", ", TRUE(), _xlfn._xlws.FILTER(Spkrs_Rcrdngs[Speaker],Spkrs_Rcrdngs[Recording]=Rcrdngs[[#This Row],[Text]],"[no speaker selected in Speakers_in_Recordings]"))</f>
        <v>Harran01, Harran02</v>
      </c>
      <c r="C122" s="24" t="str" cm="1">
        <f t="array" ref="C122">_xlfn.TEXTJOIN(", ", TRUE(), _xlfn._xlws.FILTER(Sbcts_Rcrdngs[Subject],Sbcts_Rcrdngs[Recording]=Rcrdngs[[#This Row],[Text]],"[no subject selected in Subjects_in_Recordings]"))</f>
        <v>Word List</v>
      </c>
      <c r="D122" s="25">
        <v>40305</v>
      </c>
      <c r="E122" s="26" t="s">
        <v>927</v>
      </c>
      <c r="F122" s="27" t="s">
        <v>861</v>
      </c>
      <c r="G122" s="27" t="s">
        <v>605</v>
      </c>
      <c r="H122" s="27"/>
      <c r="I122" s="6"/>
      <c r="J122" s="6"/>
      <c r="K122" s="6"/>
      <c r="L122" s="6"/>
      <c r="M122" s="6"/>
      <c r="N122" s="6"/>
      <c r="O122" s="27" t="s">
        <v>862</v>
      </c>
      <c r="P122" s="34"/>
      <c r="Q122" s="34" t="s">
        <v>928</v>
      </c>
      <c r="R122" s="29"/>
    </row>
    <row r="123" spans="1:18" ht="17.25" customHeight="1">
      <c r="A123" s="35" t="s">
        <v>104</v>
      </c>
      <c r="B123" s="23" t="str" cm="1">
        <f t="array" ref="B123">_xlfn.TEXTJOIN(", ", TRUE(), _xlfn._xlws.FILTER(Spkrs_Rcrdngs[Speaker],Spkrs_Rcrdngs[Recording]=Rcrdngs[[#This Row],[Text]],"[no speaker selected in Speakers_in_Recordings]"))</f>
        <v>Harran01, Harran02</v>
      </c>
      <c r="C123" s="24" t="str" cm="1">
        <f t="array" ref="C123">_xlfn.TEXTJOIN(", ", TRUE(), _xlfn._xlws.FILTER(Sbcts_Rcrdngs[Subject],Sbcts_Rcrdngs[Recording]=Rcrdngs[[#This Row],[Text]],"[no subject selected in Subjects_in_Recordings]"))</f>
        <v>Word List</v>
      </c>
      <c r="D123" s="25">
        <v>40305</v>
      </c>
      <c r="E123" s="26" t="s">
        <v>929</v>
      </c>
      <c r="F123" s="27" t="s">
        <v>861</v>
      </c>
      <c r="G123" s="27" t="s">
        <v>605</v>
      </c>
      <c r="H123" s="27"/>
      <c r="I123" s="6"/>
      <c r="J123" s="6"/>
      <c r="K123" s="6"/>
      <c r="L123" s="6"/>
      <c r="M123" s="6"/>
      <c r="N123" s="6"/>
      <c r="O123" s="27" t="s">
        <v>862</v>
      </c>
      <c r="P123" s="34"/>
      <c r="Q123" s="28" t="s">
        <v>930</v>
      </c>
      <c r="R123" s="29"/>
    </row>
    <row r="124" spans="1:18" ht="17.25" customHeight="1">
      <c r="A124" s="35" t="s">
        <v>105</v>
      </c>
      <c r="B124" s="23" t="str" cm="1">
        <f t="array" ref="B124">_xlfn.TEXTJOIN(", ", TRUE(), _xlfn._xlws.FILTER(Spkrs_Rcrdngs[Speaker],Spkrs_Rcrdngs[Recording]=Rcrdngs[[#This Row],[Text]],"[no speaker selected in Speakers_in_Recordings]"))</f>
        <v>Harran01, Harran02</v>
      </c>
      <c r="C124" s="24" t="str" cm="1">
        <f t="array" ref="C124">_xlfn.TEXTJOIN(", ", TRUE(), _xlfn._xlws.FILTER(Sbcts_Rcrdngs[Subject],Sbcts_Rcrdngs[Recording]=Rcrdngs[[#This Row],[Text]],"[no subject selected in Subjects_in_Recordings]"))</f>
        <v>Hospitality</v>
      </c>
      <c r="D124" s="25">
        <v>40305</v>
      </c>
      <c r="E124" s="26" t="s">
        <v>931</v>
      </c>
      <c r="F124" s="27" t="s">
        <v>861</v>
      </c>
      <c r="G124" s="27" t="s">
        <v>605</v>
      </c>
      <c r="H124" s="27" t="s">
        <v>861</v>
      </c>
      <c r="I124" s="6" t="s">
        <v>604</v>
      </c>
      <c r="J124" s="6" t="s">
        <v>861</v>
      </c>
      <c r="K124" s="6" t="s">
        <v>895</v>
      </c>
      <c r="L124" s="6" t="s">
        <v>604</v>
      </c>
      <c r="M124" s="6" t="s">
        <v>604</v>
      </c>
      <c r="N124" s="6"/>
      <c r="O124" s="27" t="s">
        <v>862</v>
      </c>
      <c r="P124" s="34"/>
      <c r="Q124" s="28" t="s">
        <v>932</v>
      </c>
      <c r="R124" s="29"/>
    </row>
    <row r="125" spans="1:18" ht="17.25" customHeight="1">
      <c r="A125" s="35" t="s">
        <v>106</v>
      </c>
      <c r="B125" s="23" t="str" cm="1">
        <f t="array" ref="B125">_xlfn.TEXTJOIN(", ", TRUE(), _xlfn._xlws.FILTER(Spkrs_Rcrdngs[Speaker],Spkrs_Rcrdngs[Recording]=Rcrdngs[[#This Row],[Text]],"[no speaker selected in Speakers_in_Recordings]"))</f>
        <v>Harran01, Harran02</v>
      </c>
      <c r="C125" s="24" t="str" cm="1">
        <f t="array" ref="C125">_xlfn.TEXTJOIN(", ", TRUE(), _xlfn._xlws.FILTER(Sbcts_Rcrdngs[Subject],Sbcts_Rcrdngs[Recording]=Rcrdngs[[#This Row],[Text]],"[no subject selected in Subjects_in_Recordings]"))</f>
        <v>Truffle</v>
      </c>
      <c r="D125" s="25">
        <v>40305</v>
      </c>
      <c r="E125" s="26" t="s">
        <v>933</v>
      </c>
      <c r="F125" s="27" t="s">
        <v>861</v>
      </c>
      <c r="G125" s="27" t="s">
        <v>605</v>
      </c>
      <c r="H125" s="27" t="s">
        <v>861</v>
      </c>
      <c r="I125" s="6" t="s">
        <v>604</v>
      </c>
      <c r="J125" s="6" t="s">
        <v>861</v>
      </c>
      <c r="K125" s="6" t="s">
        <v>861</v>
      </c>
      <c r="L125" s="6" t="s">
        <v>604</v>
      </c>
      <c r="M125" s="6" t="s">
        <v>604</v>
      </c>
      <c r="N125" s="6"/>
      <c r="O125" s="27" t="s">
        <v>862</v>
      </c>
      <c r="P125" s="34"/>
      <c r="Q125" s="28" t="s">
        <v>934</v>
      </c>
      <c r="R125" s="29"/>
    </row>
    <row r="126" spans="1:18" ht="17.25" customHeight="1">
      <c r="A126" s="35" t="s">
        <v>107</v>
      </c>
      <c r="B126" s="23" t="str" cm="1">
        <f t="array" ref="B126">_xlfn.TEXTJOIN(", ", TRUE(), _xlfn._xlws.FILTER(Spkrs_Rcrdngs[Speaker],Spkrs_Rcrdngs[Recording]=Rcrdngs[[#This Row],[Text]],"[no speaker selected in Speakers_in_Recordings]"))</f>
        <v>Harran01, Harran02</v>
      </c>
      <c r="C126" s="24" t="str" cm="1">
        <f t="array" ref="C126">_xlfn.TEXTJOIN(", ", TRUE(), _xlfn._xlws.FILTER(Sbcts_Rcrdngs[Subject],Sbcts_Rcrdngs[Recording]=Rcrdngs[[#This Row],[Text]],"[no subject selected in Subjects_in_Recordings]"))</f>
        <v>Sacks, Bags</v>
      </c>
      <c r="D126" s="25">
        <v>40305</v>
      </c>
      <c r="E126" s="26" t="s">
        <v>935</v>
      </c>
      <c r="F126" s="27" t="s">
        <v>861</v>
      </c>
      <c r="G126" s="27" t="s">
        <v>605</v>
      </c>
      <c r="H126" s="27" t="s">
        <v>861</v>
      </c>
      <c r="I126" s="6" t="s">
        <v>604</v>
      </c>
      <c r="J126" s="6" t="s">
        <v>861</v>
      </c>
      <c r="K126" s="6" t="s">
        <v>861</v>
      </c>
      <c r="L126" s="6" t="s">
        <v>604</v>
      </c>
      <c r="M126" s="6" t="s">
        <v>604</v>
      </c>
      <c r="N126" s="6"/>
      <c r="O126" s="27" t="s">
        <v>862</v>
      </c>
      <c r="P126" s="34"/>
      <c r="Q126" s="28" t="s">
        <v>936</v>
      </c>
      <c r="R126" s="29"/>
    </row>
    <row r="127" spans="1:18" ht="17.25" customHeight="1">
      <c r="A127" s="35" t="s">
        <v>108</v>
      </c>
      <c r="B127" s="23" t="str" cm="1">
        <f t="array" ref="B127">_xlfn.TEXTJOIN(", ", TRUE(), _xlfn._xlws.FILTER(Spkrs_Rcrdngs[Speaker],Spkrs_Rcrdngs[Recording]=Rcrdngs[[#This Row],[Text]],"[no speaker selected in Speakers_in_Recordings]"))</f>
        <v>Harran01, Harran02</v>
      </c>
      <c r="C127" s="24" t="str" cm="1">
        <f t="array" ref="C127">_xlfn.TEXTJOIN(", ", TRUE(), _xlfn._xlws.FILTER(Sbcts_Rcrdngs[Subject],Sbcts_Rcrdngs[Recording]=Rcrdngs[[#This Row],[Text]],"[no subject selected in Subjects_in_Recordings]"))</f>
        <v>Gamra, Dariba</v>
      </c>
      <c r="D127" s="25">
        <v>40305</v>
      </c>
      <c r="E127" s="26" t="s">
        <v>937</v>
      </c>
      <c r="F127" s="27" t="s">
        <v>861</v>
      </c>
      <c r="G127" s="27" t="s">
        <v>605</v>
      </c>
      <c r="H127" s="27" t="s">
        <v>861</v>
      </c>
      <c r="I127" s="6" t="s">
        <v>895</v>
      </c>
      <c r="J127" s="6" t="s">
        <v>861</v>
      </c>
      <c r="K127" s="6" t="s">
        <v>895</v>
      </c>
      <c r="L127" s="6" t="s">
        <v>604</v>
      </c>
      <c r="M127" s="6" t="s">
        <v>604</v>
      </c>
      <c r="N127" s="6"/>
      <c r="O127" s="27" t="s">
        <v>862</v>
      </c>
      <c r="P127" s="34"/>
      <c r="Q127" s="28" t="s">
        <v>938</v>
      </c>
      <c r="R127" s="29"/>
    </row>
    <row r="128" spans="1:18" ht="17.25" customHeight="1">
      <c r="A128" s="35" t="s">
        <v>109</v>
      </c>
      <c r="B128" s="23" t="str" cm="1">
        <f t="array" ref="B128">_xlfn.TEXTJOIN(", ", TRUE(), _xlfn._xlws.FILTER(Spkrs_Rcrdngs[Speaker],Spkrs_Rcrdngs[Recording]=Rcrdngs[[#This Row],[Text]],"[no speaker selected in Speakers_in_Recordings]"))</f>
        <v>Harran01, Harran02</v>
      </c>
      <c r="C128" s="24" t="str" cm="1">
        <f t="array" ref="C128">_xlfn.TEXTJOIN(", ", TRUE(), _xlfn._xlws.FILTER(Sbcts_Rcrdngs[Subject],Sbcts_Rcrdngs[Recording]=Rcrdngs[[#This Row],[Text]],"[no subject selected in Subjects_in_Recordings]"))</f>
        <v>The Game Xwetime</v>
      </c>
      <c r="D128" s="25">
        <v>40305</v>
      </c>
      <c r="E128" s="26" t="s">
        <v>939</v>
      </c>
      <c r="F128" s="27" t="s">
        <v>861</v>
      </c>
      <c r="G128" s="27" t="s">
        <v>605</v>
      </c>
      <c r="H128" s="27" t="s">
        <v>861</v>
      </c>
      <c r="I128" s="6" t="s">
        <v>604</v>
      </c>
      <c r="J128" s="6" t="s">
        <v>861</v>
      </c>
      <c r="K128" s="6" t="s">
        <v>604</v>
      </c>
      <c r="L128" s="6" t="s">
        <v>604</v>
      </c>
      <c r="M128" s="6" t="s">
        <v>604</v>
      </c>
      <c r="N128" s="6"/>
      <c r="O128" s="27" t="s">
        <v>862</v>
      </c>
      <c r="P128" s="34"/>
      <c r="Q128" s="28" t="s">
        <v>940</v>
      </c>
      <c r="R128" s="29"/>
    </row>
    <row r="129" spans="1:18" ht="17.25" customHeight="1">
      <c r="A129" s="30" t="s">
        <v>110</v>
      </c>
      <c r="B129" s="23" t="str" cm="1">
        <f t="array" ref="B129">_xlfn.TEXTJOIN(", ", TRUE(), _xlfn._xlws.FILTER(Spkrs_Rcrdngs[Speaker],Spkrs_Rcrdngs[Recording]=Rcrdngs[[#This Row],[Text]],"[no speaker selected in Speakers_in_Recordings]"))</f>
        <v>Harran01, Harran02</v>
      </c>
      <c r="C129" s="24" t="str" cm="1">
        <f t="array" ref="C129">_xlfn.TEXTJOIN(", ", TRUE(), _xlfn._xlws.FILTER(Sbcts_Rcrdngs[Subject],Sbcts_Rcrdngs[Recording]=Rcrdngs[[#This Row],[Text]],"[no subject selected in Subjects_in_Recordings]"))</f>
        <v>The Game Qubbeya</v>
      </c>
      <c r="D129" s="25">
        <v>40305</v>
      </c>
      <c r="E129" s="26" t="s">
        <v>941</v>
      </c>
      <c r="F129" s="27" t="s">
        <v>861</v>
      </c>
      <c r="G129" s="27" t="s">
        <v>605</v>
      </c>
      <c r="H129" s="27" t="s">
        <v>861</v>
      </c>
      <c r="I129" s="6" t="s">
        <v>604</v>
      </c>
      <c r="J129" s="6" t="s">
        <v>861</v>
      </c>
      <c r="K129" s="6" t="s">
        <v>604</v>
      </c>
      <c r="L129" s="6" t="s">
        <v>604</v>
      </c>
      <c r="M129" s="6" t="s">
        <v>604</v>
      </c>
      <c r="N129" s="6"/>
      <c r="O129" s="27" t="s">
        <v>862</v>
      </c>
      <c r="P129" s="34"/>
      <c r="Q129" s="34" t="s">
        <v>942</v>
      </c>
      <c r="R129" s="29"/>
    </row>
    <row r="130" spans="1:18" ht="17.25" customHeight="1">
      <c r="A130" s="35" t="s">
        <v>111</v>
      </c>
      <c r="B130" s="23" t="str" cm="1">
        <f t="array" ref="B130">_xlfn.TEXTJOIN(", ", TRUE(), _xlfn._xlws.FILTER(Spkrs_Rcrdngs[Speaker],Spkrs_Rcrdngs[Recording]=Rcrdngs[[#This Row],[Text]],"[no speaker selected in Speakers_in_Recordings]"))</f>
        <v>Harran01, Harran02</v>
      </c>
      <c r="C130" s="24" t="str" cm="1">
        <f t="array" ref="C130">_xlfn.TEXTJOIN(", ", TRUE(), _xlfn._xlws.FILTER(Sbcts_Rcrdngs[Subject],Sbcts_Rcrdngs[Recording]=Rcrdngs[[#This Row],[Text]],"[no subject selected in Subjects_in_Recordings]"))</f>
        <v>The Game Ca'ab</v>
      </c>
      <c r="D130" s="25">
        <v>40305</v>
      </c>
      <c r="E130" s="26" t="s">
        <v>879</v>
      </c>
      <c r="F130" s="27" t="s">
        <v>861</v>
      </c>
      <c r="G130" s="27" t="s">
        <v>605</v>
      </c>
      <c r="H130" s="27" t="s">
        <v>861</v>
      </c>
      <c r="I130" s="6" t="s">
        <v>604</v>
      </c>
      <c r="J130" s="6" t="s">
        <v>861</v>
      </c>
      <c r="K130" s="6" t="s">
        <v>604</v>
      </c>
      <c r="L130" s="6" t="s">
        <v>604</v>
      </c>
      <c r="M130" s="6" t="s">
        <v>604</v>
      </c>
      <c r="N130" s="6"/>
      <c r="O130" s="27" t="s">
        <v>862</v>
      </c>
      <c r="P130" s="34"/>
      <c r="Q130" s="28" t="s">
        <v>943</v>
      </c>
      <c r="R130" s="29"/>
    </row>
    <row r="131" spans="1:18" ht="17.25" customHeight="1">
      <c r="A131" s="35" t="s">
        <v>112</v>
      </c>
      <c r="B131" s="23" t="str" cm="1">
        <f t="array" ref="B131">_xlfn.TEXTJOIN(", ", TRUE(), _xlfn._xlws.FILTER(Spkrs_Rcrdngs[Speaker],Spkrs_Rcrdngs[Recording]=Rcrdngs[[#This Row],[Text]],"[no speaker selected in Speakers_in_Recordings]"))</f>
        <v>Harran01, Harran02</v>
      </c>
      <c r="C131" s="24" t="str" cm="1">
        <f t="array" ref="C131">_xlfn.TEXTJOIN(", ", TRUE(), _xlfn._xlws.FILTER(Sbcts_Rcrdngs[Subject],Sbcts_Rcrdngs[Recording]=Rcrdngs[[#This Row],[Text]],"[no subject selected in Subjects_in_Recordings]"))</f>
        <v>Fatima</v>
      </c>
      <c r="D131" s="25">
        <v>40305</v>
      </c>
      <c r="E131" s="26" t="s">
        <v>944</v>
      </c>
      <c r="F131" s="27" t="s">
        <v>861</v>
      </c>
      <c r="G131" s="27" t="s">
        <v>605</v>
      </c>
      <c r="H131" s="27" t="s">
        <v>861</v>
      </c>
      <c r="I131" s="6" t="s">
        <v>604</v>
      </c>
      <c r="J131" s="6" t="s">
        <v>861</v>
      </c>
      <c r="K131" s="6" t="s">
        <v>604</v>
      </c>
      <c r="L131" s="6" t="s">
        <v>861</v>
      </c>
      <c r="M131" s="6"/>
      <c r="N131" s="6"/>
      <c r="O131" s="27" t="s">
        <v>862</v>
      </c>
      <c r="P131" s="34"/>
      <c r="Q131" s="28" t="s">
        <v>945</v>
      </c>
      <c r="R131" s="29"/>
    </row>
    <row r="132" spans="1:18" ht="17.25" customHeight="1">
      <c r="A132" s="30" t="s">
        <v>113</v>
      </c>
      <c r="B132" s="23" t="str" cm="1">
        <f t="array" ref="B132">_xlfn.TEXTJOIN(", ", TRUE(), _xlfn._xlws.FILTER(Spkrs_Rcrdngs[Speaker],Spkrs_Rcrdngs[Recording]=Rcrdngs[[#This Row],[Text]],"[no speaker selected in Speakers_in_Recordings]"))</f>
        <v>Harran01, Harran02</v>
      </c>
      <c r="C132" s="24" t="str" cm="1">
        <f t="array" ref="C132">_xlfn.TEXTJOIN(", ", TRUE(), _xlfn._xlws.FILTER(Sbcts_Rcrdngs[Subject],Sbcts_Rcrdngs[Recording]=Rcrdngs[[#This Row],[Text]],"[no subject selected in Subjects_in_Recordings]"))</f>
        <v>Shroud</v>
      </c>
      <c r="D132" s="25">
        <v>40305</v>
      </c>
      <c r="E132" s="26" t="s">
        <v>903</v>
      </c>
      <c r="F132" s="27" t="s">
        <v>861</v>
      </c>
      <c r="G132" s="27" t="s">
        <v>605</v>
      </c>
      <c r="H132" s="27"/>
      <c r="I132" s="6"/>
      <c r="J132" s="6"/>
      <c r="K132" s="6"/>
      <c r="L132" s="6"/>
      <c r="M132" s="6"/>
      <c r="N132" s="6"/>
      <c r="O132" s="27" t="s">
        <v>862</v>
      </c>
      <c r="P132" s="34"/>
      <c r="Q132" s="34" t="s">
        <v>946</v>
      </c>
      <c r="R132" s="29"/>
    </row>
    <row r="133" spans="1:18" ht="17.25" customHeight="1">
      <c r="A133" s="35" t="s">
        <v>114</v>
      </c>
      <c r="B133" s="23" t="str" cm="1">
        <f t="array" ref="B133">_xlfn.TEXTJOIN(", ", TRUE(), _xlfn._xlws.FILTER(Spkrs_Rcrdngs[Speaker],Spkrs_Rcrdngs[Recording]=Rcrdngs[[#This Row],[Text]],"[no speaker selected in Speakers_in_Recordings]"))</f>
        <v>Harran01, Harran02</v>
      </c>
      <c r="C133" s="24" t="str" cm="1">
        <f t="array" ref="C133">_xlfn.TEXTJOIN(", ", TRUE(), _xlfn._xlws.FILTER(Sbcts_Rcrdngs[Subject],Sbcts_Rcrdngs[Recording]=Rcrdngs[[#This Row],[Text]],"[no subject selected in Subjects_in_Recordings]"))</f>
        <v>Wheat Measures</v>
      </c>
      <c r="D133" s="25">
        <v>40305</v>
      </c>
      <c r="E133" s="26" t="s">
        <v>947</v>
      </c>
      <c r="F133" s="27" t="s">
        <v>861</v>
      </c>
      <c r="G133" s="27" t="s">
        <v>605</v>
      </c>
      <c r="H133" s="27"/>
      <c r="I133" s="6"/>
      <c r="J133" s="6"/>
      <c r="K133" s="6"/>
      <c r="L133" s="6"/>
      <c r="M133" s="6"/>
      <c r="N133" s="6"/>
      <c r="O133" s="27" t="s">
        <v>862</v>
      </c>
      <c r="P133" s="34"/>
      <c r="Q133" s="28" t="s">
        <v>948</v>
      </c>
      <c r="R133" s="29"/>
    </row>
    <row r="134" spans="1:18" ht="17.25" customHeight="1">
      <c r="A134" s="35" t="s">
        <v>115</v>
      </c>
      <c r="B134" s="23" t="str" cm="1">
        <f t="array" ref="B134">_xlfn.TEXTJOIN(", ", TRUE(), _xlfn._xlws.FILTER(Spkrs_Rcrdngs[Speaker],Spkrs_Rcrdngs[Recording]=Rcrdngs[[#This Row],[Text]],"[no speaker selected in Speakers_in_Recordings]"))</f>
        <v>Harran01, Harran02</v>
      </c>
      <c r="C134" s="24" t="str" cm="1">
        <f t="array" ref="C134">_xlfn.TEXTJOIN(", ", TRUE(), _xlfn._xlws.FILTER(Sbcts_Rcrdngs[Subject],Sbcts_Rcrdngs[Recording]=Rcrdngs[[#This Row],[Text]],"[no subject selected in Subjects_in_Recordings]"))</f>
        <v>Real Friend</v>
      </c>
      <c r="D134" s="25">
        <v>40305</v>
      </c>
      <c r="E134" s="26" t="s">
        <v>949</v>
      </c>
      <c r="F134" s="27" t="s">
        <v>861</v>
      </c>
      <c r="G134" s="27" t="s">
        <v>605</v>
      </c>
      <c r="H134" s="27" t="s">
        <v>861</v>
      </c>
      <c r="I134" s="6" t="s">
        <v>604</v>
      </c>
      <c r="J134" s="6" t="s">
        <v>861</v>
      </c>
      <c r="K134" s="6" t="s">
        <v>604</v>
      </c>
      <c r="L134" s="6" t="s">
        <v>861</v>
      </c>
      <c r="M134" s="6" t="s">
        <v>604</v>
      </c>
      <c r="N134" s="6"/>
      <c r="O134" s="27" t="s">
        <v>862</v>
      </c>
      <c r="P134" s="34"/>
      <c r="Q134" s="28" t="s">
        <v>950</v>
      </c>
      <c r="R134" s="29"/>
    </row>
    <row r="135" spans="1:18" ht="17.25" customHeight="1">
      <c r="A135" s="35" t="s">
        <v>116</v>
      </c>
      <c r="B135" s="23" t="str" cm="1">
        <f t="array" ref="B135">_xlfn.TEXTJOIN(", ", TRUE(), _xlfn._xlws.FILTER(Spkrs_Rcrdngs[Speaker],Spkrs_Rcrdngs[Recording]=Rcrdngs[[#This Row],[Text]],"[no speaker selected in Speakers_in_Recordings]"))</f>
        <v>Harran01, Harran02</v>
      </c>
      <c r="C135" s="24" t="str" cm="1">
        <f t="array" ref="C135">_xlfn.TEXTJOIN(", ", TRUE(), _xlfn._xlws.FILTER(Sbcts_Rcrdngs[Subject],Sbcts_Rcrdngs[Recording]=Rcrdngs[[#This Row],[Text]],"[no subject selected in Subjects_in_Recordings]"))</f>
        <v>Cig kofte</v>
      </c>
      <c r="D135" s="25">
        <v>40305</v>
      </c>
      <c r="E135" s="26" t="s">
        <v>951</v>
      </c>
      <c r="F135" s="27" t="s">
        <v>861</v>
      </c>
      <c r="G135" s="27" t="s">
        <v>605</v>
      </c>
      <c r="H135" s="27"/>
      <c r="I135" s="6"/>
      <c r="J135" s="6"/>
      <c r="K135" s="6"/>
      <c r="L135" s="6"/>
      <c r="M135" s="6"/>
      <c r="N135" s="6"/>
      <c r="O135" s="27" t="s">
        <v>862</v>
      </c>
      <c r="P135" s="34"/>
      <c r="Q135" s="28" t="s">
        <v>952</v>
      </c>
      <c r="R135" s="29"/>
    </row>
    <row r="136" spans="1:18" ht="17.25" customHeight="1">
      <c r="A136" s="30" t="s">
        <v>117</v>
      </c>
      <c r="B136" s="23" t="str" cm="1">
        <f t="array" ref="B136">_xlfn.TEXTJOIN(", ", TRUE(), _xlfn._xlws.FILTER(Spkrs_Rcrdngs[Speaker],Spkrs_Rcrdngs[Recording]=Rcrdngs[[#This Row],[Text]],"[no speaker selected in Speakers_in_Recordings]"))</f>
        <v>Harran01, Harran02, Harran07, Harran06</v>
      </c>
      <c r="C136" s="24" t="str" cm="1">
        <f t="array" ref="C136">_xlfn.TEXTJOIN(", ", TRUE(), _xlfn._xlws.FILTER(Sbcts_Rcrdngs[Subject],Sbcts_Rcrdngs[Recording]=Rcrdngs[[#This Row],[Text]],"[no subject selected in Subjects_in_Recordings]"))</f>
        <v>Gam, Moses</v>
      </c>
      <c r="D136" s="25">
        <v>40306</v>
      </c>
      <c r="E136" s="26" t="s">
        <v>953</v>
      </c>
      <c r="F136" s="27" t="s">
        <v>861</v>
      </c>
      <c r="G136" s="27" t="s">
        <v>605</v>
      </c>
      <c r="H136" s="27"/>
      <c r="I136" s="6"/>
      <c r="J136" s="6"/>
      <c r="K136" s="6"/>
      <c r="L136" s="6"/>
      <c r="M136" s="6"/>
      <c r="N136" s="6"/>
      <c r="O136" s="27" t="s">
        <v>862</v>
      </c>
      <c r="P136" s="34"/>
      <c r="Q136" s="34" t="s">
        <v>954</v>
      </c>
      <c r="R136" s="29"/>
    </row>
    <row r="137" spans="1:18" ht="17.25" customHeight="1">
      <c r="A137" s="35" t="s">
        <v>118</v>
      </c>
      <c r="B137" s="23" t="str" cm="1">
        <f t="array" ref="B137">_xlfn.TEXTJOIN(", ", TRUE(), _xlfn._xlws.FILTER(Spkrs_Rcrdngs[Speaker],Spkrs_Rcrdngs[Recording]=Rcrdngs[[#This Row],[Text]],"[no speaker selected in Speakers_in_Recordings]"))</f>
        <v>Harran01, Harran06</v>
      </c>
      <c r="C137" s="24" t="str" cm="1">
        <f t="array" ref="C137">_xlfn.TEXTJOIN(", ", TRUE(), _xlfn._xlws.FILTER(Sbcts_Rcrdngs[Subject],Sbcts_Rcrdngs[Recording]=Rcrdngs[[#This Row],[Text]],"[no subject selected in Subjects_in_Recordings]"))</f>
        <v>Story of a Magician</v>
      </c>
      <c r="D137" s="25">
        <v>40306</v>
      </c>
      <c r="E137" s="26" t="s">
        <v>924</v>
      </c>
      <c r="F137" s="27" t="s">
        <v>861</v>
      </c>
      <c r="G137" s="27" t="s">
        <v>605</v>
      </c>
      <c r="H137" s="27" t="s">
        <v>861</v>
      </c>
      <c r="I137" s="6" t="s">
        <v>895</v>
      </c>
      <c r="J137" s="6" t="s">
        <v>861</v>
      </c>
      <c r="K137" s="6" t="s">
        <v>895</v>
      </c>
      <c r="L137" s="6" t="s">
        <v>861</v>
      </c>
      <c r="M137" s="6" t="s">
        <v>604</v>
      </c>
      <c r="N137" s="6"/>
      <c r="O137" s="27" t="s">
        <v>862</v>
      </c>
      <c r="P137" s="34"/>
      <c r="Q137" s="28" t="s">
        <v>955</v>
      </c>
      <c r="R137" s="29"/>
    </row>
    <row r="138" spans="1:18" ht="17.25" customHeight="1">
      <c r="A138" s="35" t="s">
        <v>119</v>
      </c>
      <c r="B138" s="23" t="str" cm="1">
        <f t="array" ref="B138">_xlfn.TEXTJOIN(", ", TRUE(), _xlfn._xlws.FILTER(Spkrs_Rcrdngs[Speaker],Spkrs_Rcrdngs[Recording]=Rcrdngs[[#This Row],[Text]],"[no speaker selected in Speakers_in_Recordings]"))</f>
        <v>Harran01, Harran02, Harran07</v>
      </c>
      <c r="C138" s="24" t="str" cm="1">
        <f t="array" ref="C138">_xlfn.TEXTJOIN(", ", TRUE(), _xlfn._xlws.FILTER(Sbcts_Rcrdngs[Subject],Sbcts_Rcrdngs[Recording]=Rcrdngs[[#This Row],[Text]],"[no subject selected in Subjects_in_Recordings]"))</f>
        <v>Hawashi</v>
      </c>
      <c r="D138" s="25">
        <v>40306</v>
      </c>
      <c r="E138" s="26" t="s">
        <v>956</v>
      </c>
      <c r="F138" s="27" t="s">
        <v>861</v>
      </c>
      <c r="G138" s="27" t="s">
        <v>605</v>
      </c>
      <c r="H138" s="27"/>
      <c r="I138" s="6"/>
      <c r="J138" s="6"/>
      <c r="K138" s="6"/>
      <c r="L138" s="6"/>
      <c r="M138" s="6"/>
      <c r="N138" s="6"/>
      <c r="O138" s="27" t="s">
        <v>862</v>
      </c>
      <c r="P138" s="34"/>
      <c r="Q138" s="28" t="s">
        <v>957</v>
      </c>
      <c r="R138" s="29"/>
    </row>
    <row r="139" spans="1:18" ht="17.25" customHeight="1">
      <c r="A139" s="35" t="s">
        <v>120</v>
      </c>
      <c r="B139" s="23" t="str" cm="1">
        <f t="array" ref="B139">_xlfn.TEXTJOIN(", ", TRUE(), _xlfn._xlws.FILTER(Spkrs_Rcrdngs[Speaker],Spkrs_Rcrdngs[Recording]=Rcrdngs[[#This Row],[Text]],"[no speaker selected in Speakers_in_Recordings]"))</f>
        <v>Harran01, Harran02</v>
      </c>
      <c r="C139" s="24" t="str" cm="1">
        <f t="array" ref="C139">_xlfn.TEXTJOIN(", ", TRUE(), _xlfn._xlws.FILTER(Sbcts_Rcrdngs[Subject],Sbcts_Rcrdngs[Recording]=Rcrdngs[[#This Row],[Text]],"[no subject selected in Subjects_in_Recordings]"))</f>
        <v>Xandaq Battle</v>
      </c>
      <c r="D139" s="25">
        <v>40306</v>
      </c>
      <c r="E139" s="26" t="s">
        <v>958</v>
      </c>
      <c r="F139" s="27" t="s">
        <v>861</v>
      </c>
      <c r="G139" s="27" t="s">
        <v>605</v>
      </c>
      <c r="H139" s="27"/>
      <c r="I139" s="6"/>
      <c r="J139" s="6"/>
      <c r="K139" s="6"/>
      <c r="L139" s="6"/>
      <c r="M139" s="6"/>
      <c r="N139" s="6"/>
      <c r="O139" s="27" t="s">
        <v>862</v>
      </c>
      <c r="P139" s="34"/>
      <c r="Q139" s="28" t="s">
        <v>959</v>
      </c>
      <c r="R139" s="29"/>
    </row>
    <row r="140" spans="1:18" ht="17.25" customHeight="1">
      <c r="A140" s="35" t="s">
        <v>121</v>
      </c>
      <c r="B140" s="23" t="str" cm="1">
        <f t="array" ref="B140">_xlfn.TEXTJOIN(", ", TRUE(), _xlfn._xlws.FILTER(Spkrs_Rcrdngs[Speaker],Spkrs_Rcrdngs[Recording]=Rcrdngs[[#This Row],[Text]],"[no speaker selected in Speakers_in_Recordings]"))</f>
        <v>Harran01, Harran02, Harran06, Harran07</v>
      </c>
      <c r="C140" s="24" t="str" cm="1">
        <f t="array" ref="C140">_xlfn.TEXTJOIN(", ", TRUE(), _xlfn._xlws.FILTER(Sbcts_Rcrdngs[Subject],Sbcts_Rcrdngs[Recording]=Rcrdngs[[#This Row],[Text]],"[no subject selected in Subjects_in_Recordings]"))</f>
        <v>Truffle</v>
      </c>
      <c r="D140" s="25">
        <v>40306</v>
      </c>
      <c r="E140" s="26" t="s">
        <v>960</v>
      </c>
      <c r="F140" s="27" t="s">
        <v>861</v>
      </c>
      <c r="G140" s="27" t="s">
        <v>605</v>
      </c>
      <c r="H140" s="27"/>
      <c r="I140" s="6"/>
      <c r="J140" s="6"/>
      <c r="K140" s="6"/>
      <c r="L140" s="6"/>
      <c r="M140" s="6"/>
      <c r="N140" s="6"/>
      <c r="O140" s="27" t="s">
        <v>862</v>
      </c>
      <c r="P140" s="34"/>
      <c r="Q140" s="28" t="s">
        <v>961</v>
      </c>
      <c r="R140" s="29"/>
    </row>
    <row r="141" spans="1:18" ht="17.25" customHeight="1">
      <c r="A141" s="35" t="s">
        <v>122</v>
      </c>
      <c r="B141" s="23" t="str" cm="1">
        <f t="array" ref="B141">_xlfn.TEXTJOIN(", ", TRUE(), _xlfn._xlws.FILTER(Spkrs_Rcrdngs[Speaker],Spkrs_Rcrdngs[Recording]=Rcrdngs[[#This Row],[Text]],"[no speaker selected in Speakers_in_Recordings]"))</f>
        <v>Harran01, Harran02, Harran06, Harran07</v>
      </c>
      <c r="C141" s="24" t="str" cm="1">
        <f t="array" ref="C141">_xlfn.TEXTJOIN(", ", TRUE(), _xlfn._xlws.FILTER(Sbcts_Rcrdngs[Subject],Sbcts_Rcrdngs[Recording]=Rcrdngs[[#This Row],[Text]],"[no subject selected in Subjects_in_Recordings]"))</f>
        <v>Truffle, Sheikh Hayat</v>
      </c>
      <c r="D141" s="25">
        <v>40306</v>
      </c>
      <c r="E141" s="26" t="s">
        <v>962</v>
      </c>
      <c r="F141" s="27" t="s">
        <v>861</v>
      </c>
      <c r="G141" s="27" t="s">
        <v>605</v>
      </c>
      <c r="H141" s="27" t="s">
        <v>861</v>
      </c>
      <c r="I141" s="6" t="s">
        <v>895</v>
      </c>
      <c r="J141" s="6" t="s">
        <v>861</v>
      </c>
      <c r="K141" s="6" t="s">
        <v>895</v>
      </c>
      <c r="L141" s="6" t="s">
        <v>861</v>
      </c>
      <c r="M141" s="6" t="s">
        <v>604</v>
      </c>
      <c r="N141" s="6"/>
      <c r="O141" s="27" t="s">
        <v>862</v>
      </c>
      <c r="P141" s="34"/>
      <c r="Q141" s="28" t="s">
        <v>963</v>
      </c>
      <c r="R141" s="29"/>
    </row>
    <row r="142" spans="1:18" ht="17.25" customHeight="1">
      <c r="A142" s="35" t="s">
        <v>123</v>
      </c>
      <c r="B142" s="23" t="str" cm="1">
        <f t="array" ref="B142">_xlfn.TEXTJOIN(", ", TRUE(), _xlfn._xlws.FILTER(Spkrs_Rcrdngs[Speaker],Spkrs_Rcrdngs[Recording]=Rcrdngs[[#This Row],[Text]],"[no speaker selected in Speakers_in_Recordings]"))</f>
        <v>Harran01, Harran02</v>
      </c>
      <c r="C142" s="24" t="str" cm="1">
        <f t="array" ref="C142">_xlfn.TEXTJOIN(", ", TRUE(), _xlfn._xlws.FILTER(Sbcts_Rcrdngs[Subject],Sbcts_Rcrdngs[Recording]=Rcrdngs[[#This Row],[Text]],"[no subject selected in Subjects_in_Recordings]"))</f>
        <v>Abu Bakir</v>
      </c>
      <c r="D142" s="25">
        <v>40306</v>
      </c>
      <c r="E142" s="26" t="s">
        <v>964</v>
      </c>
      <c r="F142" s="27" t="s">
        <v>861</v>
      </c>
      <c r="G142" s="27" t="s">
        <v>605</v>
      </c>
      <c r="H142" s="27"/>
      <c r="I142" s="6"/>
      <c r="J142" s="6"/>
      <c r="K142" s="6"/>
      <c r="L142" s="6"/>
      <c r="M142" s="6"/>
      <c r="N142" s="6"/>
      <c r="O142" s="27" t="s">
        <v>862</v>
      </c>
      <c r="P142" s="34"/>
      <c r="Q142" s="28" t="s">
        <v>965</v>
      </c>
      <c r="R142" s="29"/>
    </row>
    <row r="143" spans="1:18" ht="17.25" customHeight="1">
      <c r="A143" s="35" t="s">
        <v>124</v>
      </c>
      <c r="B143" s="23" t="str" cm="1">
        <f t="array" ref="B143">_xlfn.TEXTJOIN(", ", TRUE(), _xlfn._xlws.FILTER(Spkrs_Rcrdngs[Speaker],Spkrs_Rcrdngs[Recording]=Rcrdngs[[#This Row],[Text]],"[no speaker selected in Speakers_in_Recordings]"))</f>
        <v>Harran01, Harran06, Harran02</v>
      </c>
      <c r="C143" s="24" t="str" cm="1">
        <f t="array" ref="C143">_xlfn.TEXTJOIN(", ", TRUE(), _xlfn._xlws.FILTER(Sbcts_Rcrdngs[Subject],Sbcts_Rcrdngs[Recording]=Rcrdngs[[#This Row],[Text]],"[no subject selected in Subjects_in_Recordings]"))</f>
        <v>Ali, Old Man</v>
      </c>
      <c r="D143" s="25">
        <v>40306</v>
      </c>
      <c r="E143" s="26" t="s">
        <v>966</v>
      </c>
      <c r="F143" s="27" t="s">
        <v>861</v>
      </c>
      <c r="G143" s="27" t="s">
        <v>605</v>
      </c>
      <c r="H143" s="27"/>
      <c r="I143" s="6"/>
      <c r="J143" s="6"/>
      <c r="K143" s="6"/>
      <c r="L143" s="6"/>
      <c r="M143" s="6"/>
      <c r="N143" s="6"/>
      <c r="O143" s="27" t="s">
        <v>862</v>
      </c>
      <c r="P143" s="34"/>
      <c r="Q143" s="28" t="s">
        <v>967</v>
      </c>
      <c r="R143" s="29"/>
    </row>
    <row r="144" spans="1:18" ht="17.25" customHeight="1">
      <c r="A144" s="35" t="s">
        <v>125</v>
      </c>
      <c r="B144" s="23" t="str" cm="1">
        <f t="array" ref="B144">_xlfn.TEXTJOIN(", ", TRUE(), _xlfn._xlws.FILTER(Spkrs_Rcrdngs[Speaker],Spkrs_Rcrdngs[Recording]=Rcrdngs[[#This Row],[Text]],"[no speaker selected in Speakers_in_Recordings]"))</f>
        <v>Harran01, Harran07</v>
      </c>
      <c r="C144" s="24" t="str" cm="1">
        <f t="array" ref="C144">_xlfn.TEXTJOIN(", ", TRUE(), _xlfn._xlws.FILTER(Sbcts_Rcrdngs[Subject],Sbcts_Rcrdngs[Recording]=Rcrdngs[[#This Row],[Text]],"[no subject selected in Subjects_in_Recordings]"))</f>
        <v>Lightning, Earthquakes</v>
      </c>
      <c r="D144" s="25">
        <v>40306</v>
      </c>
      <c r="E144" s="26" t="s">
        <v>806</v>
      </c>
      <c r="F144" s="27" t="s">
        <v>861</v>
      </c>
      <c r="G144" s="27" t="s">
        <v>605</v>
      </c>
      <c r="H144" s="27"/>
      <c r="I144" s="6"/>
      <c r="J144" s="6"/>
      <c r="K144" s="6"/>
      <c r="L144" s="6"/>
      <c r="M144" s="6"/>
      <c r="N144" s="6"/>
      <c r="O144" s="27" t="s">
        <v>862</v>
      </c>
      <c r="P144" s="34"/>
      <c r="Q144" s="28" t="s">
        <v>968</v>
      </c>
      <c r="R144" s="29"/>
    </row>
    <row r="145" spans="1:18" ht="17.25" customHeight="1">
      <c r="A145" s="35" t="s">
        <v>126</v>
      </c>
      <c r="B145" s="23" t="str" cm="1">
        <f t="array" ref="B145">_xlfn.TEXTJOIN(", ", TRUE(), _xlfn._xlws.FILTER(Spkrs_Rcrdngs[Speaker],Spkrs_Rcrdngs[Recording]=Rcrdngs[[#This Row],[Text]],"[no speaker selected in Speakers_in_Recordings]"))</f>
        <v>Harran01, Harran02</v>
      </c>
      <c r="C145" s="24" t="str" cm="1">
        <f t="array" ref="C145">_xlfn.TEXTJOIN(", ", TRUE(), _xlfn._xlws.FILTER(Sbcts_Rcrdngs[Subject],Sbcts_Rcrdngs[Recording]=Rcrdngs[[#This Row],[Text]],"[no subject selected in Subjects_in_Recordings]"))</f>
        <v>Rocks</v>
      </c>
      <c r="D145" s="25">
        <v>40306</v>
      </c>
      <c r="E145" s="26" t="s">
        <v>969</v>
      </c>
      <c r="F145" s="27" t="s">
        <v>861</v>
      </c>
      <c r="G145" s="27" t="s">
        <v>605</v>
      </c>
      <c r="H145" s="27"/>
      <c r="I145" s="6"/>
      <c r="J145" s="6"/>
      <c r="K145" s="6"/>
      <c r="L145" s="6"/>
      <c r="M145" s="6"/>
      <c r="N145" s="6"/>
      <c r="O145" s="27" t="s">
        <v>862</v>
      </c>
      <c r="P145" s="34"/>
      <c r="Q145" s="28" t="s">
        <v>970</v>
      </c>
      <c r="R145" s="29"/>
    </row>
    <row r="146" spans="1:18" ht="17.25" customHeight="1">
      <c r="A146" s="30" t="s">
        <v>127</v>
      </c>
      <c r="B146" s="23" t="str" cm="1">
        <f t="array" ref="B146">_xlfn.TEXTJOIN(", ", TRUE(), _xlfn._xlws.FILTER(Spkrs_Rcrdngs[Speaker],Spkrs_Rcrdngs[Recording]=Rcrdngs[[#This Row],[Text]],"[no speaker selected in Speakers_in_Recordings]"))</f>
        <v>Harran01, Ziyara01, Harran02</v>
      </c>
      <c r="C146" s="24" t="str" cm="1">
        <f t="array" ref="C146">_xlfn.TEXTJOIN(", ", TRUE(), _xlfn._xlws.FILTER(Sbcts_Rcrdngs[Subject],Sbcts_Rcrdngs[Recording]=Rcrdngs[[#This Row],[Text]],"[no subject selected in Subjects_in_Recordings]"))</f>
        <v>Agriculture, Former Times</v>
      </c>
      <c r="D146" s="25">
        <v>40307</v>
      </c>
      <c r="E146" s="26" t="s">
        <v>971</v>
      </c>
      <c r="F146" s="27" t="s">
        <v>861</v>
      </c>
      <c r="G146" s="27" t="s">
        <v>605</v>
      </c>
      <c r="H146" s="27"/>
      <c r="I146" s="6"/>
      <c r="J146" s="6"/>
      <c r="K146" s="6"/>
      <c r="L146" s="6"/>
      <c r="M146" s="6"/>
      <c r="N146" s="6"/>
      <c r="O146" s="27" t="s">
        <v>862</v>
      </c>
      <c r="P146" s="34"/>
      <c r="Q146" s="34" t="s">
        <v>972</v>
      </c>
      <c r="R146" s="29"/>
    </row>
    <row r="147" spans="1:18" ht="17.25" customHeight="1">
      <c r="A147" s="30" t="s">
        <v>128</v>
      </c>
      <c r="B147" s="23" t="str" cm="1">
        <f t="array" ref="B147">_xlfn.TEXTJOIN(", ", TRUE(), _xlfn._xlws.FILTER(Spkrs_Rcrdngs[Speaker],Spkrs_Rcrdngs[Recording]=Rcrdngs[[#This Row],[Text]],"[no speaker selected in Speakers_in_Recordings]"))</f>
        <v>Harran01, Ziyara01</v>
      </c>
      <c r="C147" s="24" t="str" cm="1">
        <f t="array" ref="C147">_xlfn.TEXTJOIN(", ", TRUE(), _xlfn._xlws.FILTER(Sbcts_Rcrdngs[Subject],Sbcts_Rcrdngs[Recording]=Rcrdngs[[#This Row],[Text]],"[no subject selected in Subjects_in_Recordings]"))</f>
        <v>Tribes, Jews, Armenians, Moshe Dayan</v>
      </c>
      <c r="D147" s="25">
        <v>40307</v>
      </c>
      <c r="E147" s="26" t="s">
        <v>973</v>
      </c>
      <c r="F147" s="27" t="s">
        <v>861</v>
      </c>
      <c r="G147" s="27" t="s">
        <v>605</v>
      </c>
      <c r="H147" s="27" t="s">
        <v>861</v>
      </c>
      <c r="I147" s="6" t="s">
        <v>604</v>
      </c>
      <c r="J147" s="6" t="s">
        <v>861</v>
      </c>
      <c r="K147" s="6" t="s">
        <v>604</v>
      </c>
      <c r="L147" s="6" t="s">
        <v>861</v>
      </c>
      <c r="M147" s="6" t="s">
        <v>604</v>
      </c>
      <c r="N147" s="6"/>
      <c r="O147" s="27" t="s">
        <v>862</v>
      </c>
      <c r="P147" s="34"/>
      <c r="Q147" s="34" t="s">
        <v>974</v>
      </c>
      <c r="R147" s="29"/>
    </row>
    <row r="148" spans="1:18" ht="17.25" customHeight="1">
      <c r="A148" s="30" t="s">
        <v>129</v>
      </c>
      <c r="B148" s="23" t="str" cm="1">
        <f t="array" ref="B148">_xlfn.TEXTJOIN(", ", TRUE(), _xlfn._xlws.FILTER(Spkrs_Rcrdngs[Speaker],Spkrs_Rcrdngs[Recording]=Rcrdngs[[#This Row],[Text]],"[no speaker selected in Speakers_in_Recordings]"))</f>
        <v>Harran01, Ziyara01, Ziyara03</v>
      </c>
      <c r="C148" s="24" t="str" cm="1">
        <f t="array" ref="C148">_xlfn.TEXTJOIN(", ", TRUE(), _xlfn._xlws.FILTER(Sbcts_Rcrdngs[Subject],Sbcts_Rcrdngs[Recording]=Rcrdngs[[#This Row],[Text]],"[no subject selected in Subjects_in_Recordings]"))</f>
        <v>Armenians</v>
      </c>
      <c r="D148" s="25">
        <v>40307</v>
      </c>
      <c r="E148" s="26" t="s">
        <v>975</v>
      </c>
      <c r="F148" s="27" t="s">
        <v>861</v>
      </c>
      <c r="G148" s="27" t="s">
        <v>605</v>
      </c>
      <c r="H148" s="27" t="s">
        <v>861</v>
      </c>
      <c r="I148" s="6" t="s">
        <v>604</v>
      </c>
      <c r="J148" s="6" t="s">
        <v>861</v>
      </c>
      <c r="K148" s="6" t="s">
        <v>604</v>
      </c>
      <c r="L148" s="6" t="s">
        <v>861</v>
      </c>
      <c r="M148" s="6" t="s">
        <v>604</v>
      </c>
      <c r="N148" s="6"/>
      <c r="O148" s="27" t="s">
        <v>862</v>
      </c>
      <c r="P148" s="34"/>
      <c r="Q148" s="34" t="s">
        <v>976</v>
      </c>
      <c r="R148" s="29"/>
    </row>
    <row r="149" spans="1:18" ht="17.25" customHeight="1">
      <c r="A149" s="30" t="s">
        <v>130</v>
      </c>
      <c r="B149" s="23" t="str" cm="1">
        <f t="array" ref="B149">_xlfn.TEXTJOIN(", ", TRUE(), _xlfn._xlws.FILTER(Spkrs_Rcrdngs[Speaker],Spkrs_Rcrdngs[Recording]=Rcrdngs[[#This Row],[Text]],"[no speaker selected in Speakers_in_Recordings]"))</f>
        <v>Harran01, Ziyara01</v>
      </c>
      <c r="C149" s="24" t="str" cm="1">
        <f t="array" ref="C149">_xlfn.TEXTJOIN(", ", TRUE(), _xlfn._xlws.FILTER(Sbcts_Rcrdngs[Subject],Sbcts_Rcrdngs[Recording]=Rcrdngs[[#This Row],[Text]],"[no subject selected in Subjects_in_Recordings]"))</f>
        <v>Armenians</v>
      </c>
      <c r="D149" s="25">
        <v>40307</v>
      </c>
      <c r="E149" s="26" t="s">
        <v>975</v>
      </c>
      <c r="F149" s="27" t="s">
        <v>861</v>
      </c>
      <c r="G149" s="27" t="s">
        <v>605</v>
      </c>
      <c r="H149" s="27" t="s">
        <v>861</v>
      </c>
      <c r="I149" s="6" t="s">
        <v>604</v>
      </c>
      <c r="J149" s="6" t="s">
        <v>861</v>
      </c>
      <c r="K149" s="6" t="s">
        <v>604</v>
      </c>
      <c r="L149" s="6" t="s">
        <v>861</v>
      </c>
      <c r="M149" s="6" t="s">
        <v>604</v>
      </c>
      <c r="N149" s="6"/>
      <c r="O149" s="27" t="s">
        <v>862</v>
      </c>
      <c r="P149" s="34"/>
      <c r="Q149" s="34" t="s">
        <v>976</v>
      </c>
      <c r="R149" s="29"/>
    </row>
    <row r="150" spans="1:18" ht="17.25" customHeight="1">
      <c r="A150" s="35" t="s">
        <v>131</v>
      </c>
      <c r="B150" s="23" t="str" cm="1">
        <f t="array" ref="B150">_xlfn.TEXTJOIN(", ", TRUE(), _xlfn._xlws.FILTER(Spkrs_Rcrdngs[Speaker],Spkrs_Rcrdngs[Recording]=Rcrdngs[[#This Row],[Text]],"[no speaker selected in Speakers_in_Recordings]"))</f>
        <v>Harran01, Harran02</v>
      </c>
      <c r="C150" s="24" t="str" cm="1">
        <f t="array" ref="C150">_xlfn.TEXTJOIN(", ", TRUE(), _xlfn._xlws.FILTER(Sbcts_Rcrdngs[Subject],Sbcts_Rcrdngs[Recording]=Rcrdngs[[#This Row],[Text]],"[no subject selected in Subjects_in_Recordings]"))</f>
        <v>Hen House</v>
      </c>
      <c r="D150" s="25">
        <v>40307</v>
      </c>
      <c r="E150" s="26" t="s">
        <v>977</v>
      </c>
      <c r="F150" s="27" t="s">
        <v>861</v>
      </c>
      <c r="G150" s="27" t="s">
        <v>605</v>
      </c>
      <c r="H150" s="27" t="s">
        <v>861</v>
      </c>
      <c r="I150" s="6" t="s">
        <v>604</v>
      </c>
      <c r="J150" s="6" t="s">
        <v>861</v>
      </c>
      <c r="K150" s="6" t="s">
        <v>604</v>
      </c>
      <c r="L150" s="6" t="s">
        <v>861</v>
      </c>
      <c r="M150" s="6" t="s">
        <v>604</v>
      </c>
      <c r="N150" s="6"/>
      <c r="O150" s="27" t="s">
        <v>862</v>
      </c>
      <c r="P150" s="34"/>
      <c r="Q150" s="28" t="s">
        <v>978</v>
      </c>
      <c r="R150" s="29"/>
    </row>
    <row r="151" spans="1:18" ht="17.25" customHeight="1">
      <c r="A151" s="35" t="s">
        <v>132</v>
      </c>
      <c r="B151" s="23" t="str" cm="1">
        <f t="array" ref="B151">_xlfn.TEXTJOIN(", ", TRUE(), _xlfn._xlws.FILTER(Spkrs_Rcrdngs[Speaker],Spkrs_Rcrdngs[Recording]=Rcrdngs[[#This Row],[Text]],"[no speaker selected in Speakers_in_Recordings]"))</f>
        <v>Harran01, Ziyara01, Harran02</v>
      </c>
      <c r="C151" s="24" t="str" cm="1">
        <f t="array" ref="C151">_xlfn.TEXTJOIN(", ", TRUE(), _xlfn._xlws.FILTER(Sbcts_Rcrdngs[Subject],Sbcts_Rcrdngs[Recording]=Rcrdngs[[#This Row],[Text]],"[no subject selected in Subjects_in_Recordings]"))</f>
        <v>Agriculture, Cotton Straw</v>
      </c>
      <c r="D151" s="25">
        <v>40307</v>
      </c>
      <c r="E151" s="26" t="s">
        <v>979</v>
      </c>
      <c r="F151" s="27" t="s">
        <v>861</v>
      </c>
      <c r="G151" s="27" t="s">
        <v>605</v>
      </c>
      <c r="H151" s="27"/>
      <c r="I151" s="6"/>
      <c r="J151" s="6"/>
      <c r="K151" s="6"/>
      <c r="L151" s="6"/>
      <c r="M151" s="6"/>
      <c r="N151" s="6"/>
      <c r="O151" s="27" t="s">
        <v>862</v>
      </c>
      <c r="P151" s="34"/>
      <c r="Q151" s="28" t="s">
        <v>980</v>
      </c>
      <c r="R151" s="29"/>
    </row>
    <row r="152" spans="1:18" ht="17.25" customHeight="1">
      <c r="A152" s="30" t="s">
        <v>133</v>
      </c>
      <c r="B152" s="23" t="str" cm="1">
        <f t="array" ref="B152">_xlfn.TEXTJOIN(", ", TRUE(), _xlfn._xlws.FILTER(Spkrs_Rcrdngs[Speaker],Spkrs_Rcrdngs[Recording]=Rcrdngs[[#This Row],[Text]],"[no speaker selected in Speakers_in_Recordings]"))</f>
        <v>Harran01, Ziyara01, Harran02</v>
      </c>
      <c r="C152" s="24" t="str" cm="1">
        <f t="array" ref="C152">_xlfn.TEXTJOIN(", ", TRUE(), _xlfn._xlws.FILTER(Sbcts_Rcrdngs[Subject],Sbcts_Rcrdngs[Recording]=Rcrdngs[[#This Row],[Text]],"[no subject selected in Subjects_in_Recordings]"))</f>
        <v>Villages, Life in former Times, Animals</v>
      </c>
      <c r="D152" s="25">
        <v>40307</v>
      </c>
      <c r="E152" s="26" t="s">
        <v>981</v>
      </c>
      <c r="F152" s="27" t="s">
        <v>861</v>
      </c>
      <c r="G152" s="27" t="s">
        <v>605</v>
      </c>
      <c r="H152" s="27" t="s">
        <v>861</v>
      </c>
      <c r="I152" s="6" t="s">
        <v>895</v>
      </c>
      <c r="J152" s="6" t="s">
        <v>861</v>
      </c>
      <c r="K152" s="6" t="s">
        <v>895</v>
      </c>
      <c r="L152" s="6" t="s">
        <v>861</v>
      </c>
      <c r="M152" s="6" t="s">
        <v>604</v>
      </c>
      <c r="N152" s="6"/>
      <c r="O152" s="27" t="s">
        <v>862</v>
      </c>
      <c r="P152" s="34"/>
      <c r="Q152" s="34" t="s">
        <v>982</v>
      </c>
      <c r="R152" s="29"/>
    </row>
    <row r="153" spans="1:18" ht="17.25" customHeight="1">
      <c r="A153" s="35" t="s">
        <v>134</v>
      </c>
      <c r="B153" s="23" t="str" cm="1">
        <f t="array" ref="B153">_xlfn.TEXTJOIN(", ", TRUE(), _xlfn._xlws.FILTER(Spkrs_Rcrdngs[Speaker],Spkrs_Rcrdngs[Recording]=Rcrdngs[[#This Row],[Text]],"[no speaker selected in Speakers_in_Recordings]"))</f>
        <v>Harran01, Ziyara01, Harran02</v>
      </c>
      <c r="C153" s="24" t="str" cm="1">
        <f t="array" ref="C153">_xlfn.TEXTJOIN(", ", TRUE(), _xlfn._xlws.FILTER(Sbcts_Rcrdngs[Subject],Sbcts_Rcrdngs[Recording]=Rcrdngs[[#This Row],[Text]],"[no subject selected in Subjects_in_Recordings]"))</f>
        <v>Talls, Flood</v>
      </c>
      <c r="D153" s="25">
        <v>40307</v>
      </c>
      <c r="E153" s="26" t="s">
        <v>983</v>
      </c>
      <c r="F153" s="27" t="s">
        <v>861</v>
      </c>
      <c r="G153" s="27" t="s">
        <v>605</v>
      </c>
      <c r="H153" s="27" t="s">
        <v>861</v>
      </c>
      <c r="I153" s="6" t="s">
        <v>604</v>
      </c>
      <c r="J153" s="6" t="s">
        <v>861</v>
      </c>
      <c r="K153" s="6" t="s">
        <v>604</v>
      </c>
      <c r="L153" s="6" t="s">
        <v>861</v>
      </c>
      <c r="M153" s="6" t="s">
        <v>604</v>
      </c>
      <c r="N153" s="6"/>
      <c r="O153" s="27" t="s">
        <v>862</v>
      </c>
      <c r="P153" s="34"/>
      <c r="Q153" s="28" t="s">
        <v>984</v>
      </c>
      <c r="R153" s="29"/>
    </row>
    <row r="154" spans="1:18" ht="17.25" customHeight="1">
      <c r="A154" s="35" t="s">
        <v>135</v>
      </c>
      <c r="B154" s="23" t="str" cm="1">
        <f t="array" ref="B154">_xlfn.TEXTJOIN(", ", TRUE(), _xlfn._xlws.FILTER(Spkrs_Rcrdngs[Speaker],Spkrs_Rcrdngs[Recording]=Rcrdngs[[#This Row],[Text]],"[no speaker selected in Speakers_in_Recordings]"))</f>
        <v>Harran01, Harran02</v>
      </c>
      <c r="C154" s="24" t="str" cm="1">
        <f t="array" ref="C154">_xlfn.TEXTJOIN(", ", TRUE(), _xlfn._xlws.FILTER(Sbcts_Rcrdngs[Subject],Sbcts_Rcrdngs[Recording]=Rcrdngs[[#This Row],[Text]],"[no subject selected in Subjects_in_Recordings]"))</f>
        <v>Talls, Children's Burial</v>
      </c>
      <c r="D154" s="25">
        <v>40307</v>
      </c>
      <c r="E154" s="26" t="s">
        <v>985</v>
      </c>
      <c r="F154" s="27" t="s">
        <v>861</v>
      </c>
      <c r="G154" s="27" t="s">
        <v>605</v>
      </c>
      <c r="H154" s="27" t="s">
        <v>861</v>
      </c>
      <c r="I154" s="6" t="s">
        <v>604</v>
      </c>
      <c r="J154" s="6" t="s">
        <v>861</v>
      </c>
      <c r="K154" s="6" t="s">
        <v>604</v>
      </c>
      <c r="L154" s="6" t="s">
        <v>861</v>
      </c>
      <c r="M154" s="6" t="s">
        <v>604</v>
      </c>
      <c r="N154" s="6"/>
      <c r="O154" s="27" t="s">
        <v>862</v>
      </c>
      <c r="P154" s="34"/>
      <c r="Q154" s="28" t="s">
        <v>986</v>
      </c>
      <c r="R154" s="29"/>
    </row>
    <row r="155" spans="1:18" ht="17.25" customHeight="1">
      <c r="A155" s="30" t="s">
        <v>136</v>
      </c>
      <c r="B155" s="23" t="str" cm="1">
        <f t="array" ref="B155">_xlfn.TEXTJOIN(", ", TRUE(), _xlfn._xlws.FILTER(Spkrs_Rcrdngs[Speaker],Spkrs_Rcrdngs[Recording]=Rcrdngs[[#This Row],[Text]],"[no speaker selected in Speakers_in_Recordings]"))</f>
        <v>Harran01, Ziyara01, Harran02</v>
      </c>
      <c r="C155" s="24" t="str" cm="1">
        <f t="array" ref="C155">_xlfn.TEXTJOIN(", ", TRUE(), _xlfn._xlws.FILTER(Sbcts_Rcrdngs[Subject],Sbcts_Rcrdngs[Recording]=Rcrdngs[[#This Row],[Text]],"[no subject selected in Subjects_in_Recordings]"))</f>
        <v>Corn, Language</v>
      </c>
      <c r="D155" s="25">
        <v>40307</v>
      </c>
      <c r="E155" s="26" t="s">
        <v>987</v>
      </c>
      <c r="F155" s="27" t="s">
        <v>861</v>
      </c>
      <c r="G155" s="27" t="s">
        <v>605</v>
      </c>
      <c r="H155" s="27" t="s">
        <v>861</v>
      </c>
      <c r="I155" s="6" t="s">
        <v>604</v>
      </c>
      <c r="J155" s="6" t="s">
        <v>861</v>
      </c>
      <c r="K155" s="6" t="s">
        <v>604</v>
      </c>
      <c r="L155" s="6" t="s">
        <v>861</v>
      </c>
      <c r="M155" s="6" t="s">
        <v>604</v>
      </c>
      <c r="N155" s="6"/>
      <c r="O155" s="27" t="s">
        <v>862</v>
      </c>
      <c r="P155" s="34"/>
      <c r="Q155" s="34" t="s">
        <v>988</v>
      </c>
      <c r="R155" s="29"/>
    </row>
    <row r="156" spans="1:18" ht="17.25" customHeight="1">
      <c r="A156" s="35" t="s">
        <v>137</v>
      </c>
      <c r="B156" s="23" t="str" cm="1">
        <f t="array" ref="B156">_xlfn.TEXTJOIN(", ", TRUE(), _xlfn._xlws.FILTER(Spkrs_Rcrdngs[Speaker],Spkrs_Rcrdngs[Recording]=Rcrdngs[[#This Row],[Text]],"[no speaker selected in Speakers_in_Recordings]"))</f>
        <v>Harran01, Ziyara01, Harran02</v>
      </c>
      <c r="C156" s="24" t="str" cm="1">
        <f t="array" ref="C156">_xlfn.TEXTJOIN(", ", TRUE(), _xlfn._xlws.FILTER(Sbcts_Rcrdngs[Subject],Sbcts_Rcrdngs[Recording]=Rcrdngs[[#This Row],[Text]],"[no subject selected in Subjects_in_Recordings]"))</f>
        <v>Non-Arab Bedouins</v>
      </c>
      <c r="D156" s="25">
        <v>40307</v>
      </c>
      <c r="E156" s="26" t="s">
        <v>929</v>
      </c>
      <c r="F156" s="27" t="s">
        <v>861</v>
      </c>
      <c r="G156" s="27" t="s">
        <v>605</v>
      </c>
      <c r="H156" s="27" t="s">
        <v>861</v>
      </c>
      <c r="I156" s="6" t="s">
        <v>604</v>
      </c>
      <c r="J156" s="6" t="s">
        <v>861</v>
      </c>
      <c r="K156" s="6" t="s">
        <v>604</v>
      </c>
      <c r="L156" s="6" t="s">
        <v>861</v>
      </c>
      <c r="M156" s="6" t="s">
        <v>604</v>
      </c>
      <c r="N156" s="6"/>
      <c r="O156" s="27" t="s">
        <v>862</v>
      </c>
      <c r="P156" s="34"/>
      <c r="Q156" s="28" t="s">
        <v>989</v>
      </c>
      <c r="R156" s="29"/>
    </row>
    <row r="157" spans="1:18" ht="17.25" customHeight="1">
      <c r="A157" s="30" t="s">
        <v>138</v>
      </c>
      <c r="B157" s="23" t="str" cm="1">
        <f t="array" ref="B157">_xlfn.TEXTJOIN(", ", TRUE(), _xlfn._xlws.FILTER(Spkrs_Rcrdngs[Speaker],Spkrs_Rcrdngs[Recording]=Rcrdngs[[#This Row],[Text]],"[no speaker selected in Speakers_in_Recordings]"))</f>
        <v>Harran01, Ziyara01, Harran02</v>
      </c>
      <c r="C157" s="24" t="str" cm="1">
        <f t="array" ref="C157">_xlfn.TEXTJOIN(", ", TRUE(), _xlfn._xlws.FILTER(Sbcts_Rcrdngs[Subject],Sbcts_Rcrdngs[Recording]=Rcrdngs[[#This Row],[Text]],"[no subject selected in Subjects_in_Recordings]"))</f>
        <v>Jinn, Demons</v>
      </c>
      <c r="D157" s="25">
        <v>40307</v>
      </c>
      <c r="E157" s="26" t="s">
        <v>990</v>
      </c>
      <c r="F157" s="27" t="s">
        <v>861</v>
      </c>
      <c r="G157" s="27" t="s">
        <v>605</v>
      </c>
      <c r="H157" s="27" t="s">
        <v>861</v>
      </c>
      <c r="I157" s="6" t="s">
        <v>604</v>
      </c>
      <c r="J157" s="6" t="s">
        <v>861</v>
      </c>
      <c r="K157" s="6" t="s">
        <v>861</v>
      </c>
      <c r="L157" s="6" t="s">
        <v>604</v>
      </c>
      <c r="M157" s="6" t="s">
        <v>604</v>
      </c>
      <c r="N157" s="6"/>
      <c r="O157" s="27" t="s">
        <v>862</v>
      </c>
      <c r="P157" s="34"/>
      <c r="Q157" s="34" t="s">
        <v>991</v>
      </c>
      <c r="R157" s="29"/>
    </row>
    <row r="158" spans="1:18" ht="17.25" customHeight="1">
      <c r="A158" s="30" t="s">
        <v>139</v>
      </c>
      <c r="B158" s="23" t="str" cm="1">
        <f t="array" ref="B158">_xlfn.TEXTJOIN(", ", TRUE(), _xlfn._xlws.FILTER(Spkrs_Rcrdngs[Speaker],Spkrs_Rcrdngs[Recording]=Rcrdngs[[#This Row],[Text]],"[no speaker selected in Speakers_in_Recordings]"))</f>
        <v>Harran01, Ziyara01, Harran02</v>
      </c>
      <c r="C158" s="24" t="str" cm="1">
        <f t="array" ref="C158">_xlfn.TEXTJOIN(", ", TRUE(), _xlfn._xlws.FILTER(Sbcts_Rcrdngs[Subject],Sbcts_Rcrdngs[Recording]=Rcrdngs[[#This Row],[Text]],"[no subject selected in Subjects_in_Recordings]"))</f>
        <v>Jinn, Demons</v>
      </c>
      <c r="D158" s="25">
        <v>40307</v>
      </c>
      <c r="E158" s="26" t="s">
        <v>990</v>
      </c>
      <c r="F158" s="27" t="s">
        <v>861</v>
      </c>
      <c r="G158" s="27" t="s">
        <v>605</v>
      </c>
      <c r="H158" s="27" t="s">
        <v>861</v>
      </c>
      <c r="I158" s="6" t="s">
        <v>604</v>
      </c>
      <c r="J158" s="6" t="s">
        <v>861</v>
      </c>
      <c r="K158" s="6" t="s">
        <v>861</v>
      </c>
      <c r="L158" s="6" t="s">
        <v>604</v>
      </c>
      <c r="M158" s="6" t="s">
        <v>604</v>
      </c>
      <c r="N158" s="6"/>
      <c r="O158" s="27" t="s">
        <v>862</v>
      </c>
      <c r="P158" s="34"/>
      <c r="Q158" s="34" t="s">
        <v>991</v>
      </c>
      <c r="R158" s="29"/>
    </row>
    <row r="159" spans="1:18" ht="17.25" customHeight="1">
      <c r="A159" s="30" t="s">
        <v>140</v>
      </c>
      <c r="B159" s="23" t="str" cm="1">
        <f t="array" ref="B159">_xlfn.TEXTJOIN(", ", TRUE(), _xlfn._xlws.FILTER(Spkrs_Rcrdngs[Speaker],Spkrs_Rcrdngs[Recording]=Rcrdngs[[#This Row],[Text]],"[no speaker selected in Speakers_in_Recordings]"))</f>
        <v>Harran01, Ziyara01, Harran02</v>
      </c>
      <c r="C159" s="24" t="str" cm="1">
        <f t="array" ref="C159">_xlfn.TEXTJOIN(", ", TRUE(), _xlfn._xlws.FILTER(Sbcts_Rcrdngs[Subject],Sbcts_Rcrdngs[Recording]=Rcrdngs[[#This Row],[Text]],"[no subject selected in Subjects_in_Recordings]"))</f>
        <v>Jinn, Demons</v>
      </c>
      <c r="D159" s="25">
        <v>40307</v>
      </c>
      <c r="E159" s="26" t="s">
        <v>990</v>
      </c>
      <c r="F159" s="27" t="s">
        <v>861</v>
      </c>
      <c r="G159" s="27" t="s">
        <v>605</v>
      </c>
      <c r="H159" s="27" t="s">
        <v>861</v>
      </c>
      <c r="I159" s="6" t="s">
        <v>604</v>
      </c>
      <c r="J159" s="6" t="s">
        <v>861</v>
      </c>
      <c r="K159" s="6" t="s">
        <v>861</v>
      </c>
      <c r="L159" s="6" t="s">
        <v>604</v>
      </c>
      <c r="M159" s="6" t="s">
        <v>604</v>
      </c>
      <c r="N159" s="6"/>
      <c r="O159" s="27" t="s">
        <v>862</v>
      </c>
      <c r="P159" s="34"/>
      <c r="Q159" s="34" t="s">
        <v>991</v>
      </c>
      <c r="R159" s="29"/>
    </row>
    <row r="160" spans="1:18" ht="17.25" customHeight="1">
      <c r="A160" s="30" t="s">
        <v>141</v>
      </c>
      <c r="B160" s="23" t="str" cm="1">
        <f t="array" ref="B160">_xlfn.TEXTJOIN(", ", TRUE(), _xlfn._xlws.FILTER(Spkrs_Rcrdngs[Speaker],Spkrs_Rcrdngs[Recording]=Rcrdngs[[#This Row],[Text]],"[no speaker selected in Speakers_in_Recordings]"))</f>
        <v>Harran01, Ziyara01, Harran02</v>
      </c>
      <c r="C160" s="24" t="str" cm="1">
        <f t="array" ref="C160">_xlfn.TEXTJOIN(", ", TRUE(), _xlfn._xlws.FILTER(Sbcts_Rcrdngs[Subject],Sbcts_Rcrdngs[Recording]=Rcrdngs[[#This Row],[Text]],"[no subject selected in Subjects_in_Recordings]"))</f>
        <v>Jinn, Demons</v>
      </c>
      <c r="D160" s="25">
        <v>40307</v>
      </c>
      <c r="E160" s="26" t="s">
        <v>990</v>
      </c>
      <c r="F160" s="27" t="s">
        <v>861</v>
      </c>
      <c r="G160" s="27" t="s">
        <v>605</v>
      </c>
      <c r="H160" s="27" t="s">
        <v>861</v>
      </c>
      <c r="I160" s="6" t="s">
        <v>604</v>
      </c>
      <c r="J160" s="6" t="s">
        <v>861</v>
      </c>
      <c r="K160" s="6" t="s">
        <v>861</v>
      </c>
      <c r="L160" s="6" t="s">
        <v>604</v>
      </c>
      <c r="M160" s="6" t="s">
        <v>604</v>
      </c>
      <c r="N160" s="6"/>
      <c r="O160" s="27" t="s">
        <v>862</v>
      </c>
      <c r="P160" s="34"/>
      <c r="Q160" s="34" t="s">
        <v>991</v>
      </c>
      <c r="R160" s="29"/>
    </row>
    <row r="161" spans="1:18" ht="17.25" customHeight="1">
      <c r="A161" s="30" t="s">
        <v>142</v>
      </c>
      <c r="B161" s="23" t="str" cm="1">
        <f t="array" ref="B161">_xlfn.TEXTJOIN(", ", TRUE(), _xlfn._xlws.FILTER(Spkrs_Rcrdngs[Speaker],Spkrs_Rcrdngs[Recording]=Rcrdngs[[#This Row],[Text]],"[no speaker selected in Speakers_in_Recordings]"))</f>
        <v>Harran01, Ziyara01, Harran02</v>
      </c>
      <c r="C161" s="24" t="str" cm="1">
        <f t="array" ref="C161">_xlfn.TEXTJOIN(", ", TRUE(), _xlfn._xlws.FILTER(Sbcts_Rcrdngs[Subject],Sbcts_Rcrdngs[Recording]=Rcrdngs[[#This Row],[Text]],"[no subject selected in Subjects_in_Recordings]"))</f>
        <v>Jinn, Demons</v>
      </c>
      <c r="D161" s="25">
        <v>40307</v>
      </c>
      <c r="E161" s="26" t="s">
        <v>990</v>
      </c>
      <c r="F161" s="27" t="s">
        <v>861</v>
      </c>
      <c r="G161" s="27" t="s">
        <v>605</v>
      </c>
      <c r="H161" s="27" t="s">
        <v>861</v>
      </c>
      <c r="I161" s="6" t="s">
        <v>604</v>
      </c>
      <c r="J161" s="6" t="s">
        <v>861</v>
      </c>
      <c r="K161" s="6" t="s">
        <v>861</v>
      </c>
      <c r="L161" s="6" t="s">
        <v>604</v>
      </c>
      <c r="M161" s="6" t="s">
        <v>604</v>
      </c>
      <c r="N161" s="6"/>
      <c r="O161" s="27" t="s">
        <v>862</v>
      </c>
      <c r="P161" s="34"/>
      <c r="Q161" s="34" t="s">
        <v>991</v>
      </c>
      <c r="R161" s="29"/>
    </row>
    <row r="162" spans="1:18" ht="17.25" customHeight="1">
      <c r="A162" s="35" t="s">
        <v>143</v>
      </c>
      <c r="B162" s="23" t="str" cm="1">
        <f t="array" ref="B162">_xlfn.TEXTJOIN(", ", TRUE(), _xlfn._xlws.FILTER(Spkrs_Rcrdngs[Speaker],Spkrs_Rcrdngs[Recording]=Rcrdngs[[#This Row],[Text]],"[no speaker selected in Speakers_in_Recordings]"))</f>
        <v>Harran01, Ziyara01, Harran02</v>
      </c>
      <c r="C162" s="24" t="str" cm="1">
        <f t="array" ref="C162">_xlfn.TEXTJOIN(", ", TRUE(), _xlfn._xlws.FILTER(Sbcts_Rcrdngs[Subject],Sbcts_Rcrdngs[Recording]=Rcrdngs[[#This Row],[Text]],"[no subject selected in Subjects_in_Recordings]"))</f>
        <v>Prophets</v>
      </c>
      <c r="D162" s="25">
        <v>40307</v>
      </c>
      <c r="E162" s="26" t="s">
        <v>992</v>
      </c>
      <c r="F162" s="27" t="s">
        <v>861</v>
      </c>
      <c r="G162" s="27" t="s">
        <v>605</v>
      </c>
      <c r="H162" s="27"/>
      <c r="I162" s="6"/>
      <c r="J162" s="6"/>
      <c r="K162" s="6"/>
      <c r="L162" s="6"/>
      <c r="M162" s="6"/>
      <c r="N162" s="6"/>
      <c r="O162" s="27" t="s">
        <v>862</v>
      </c>
      <c r="P162" s="34"/>
      <c r="Q162" s="28" t="s">
        <v>993</v>
      </c>
      <c r="R162" s="29"/>
    </row>
    <row r="163" spans="1:18" ht="17.25" customHeight="1">
      <c r="A163" s="35" t="s">
        <v>144</v>
      </c>
      <c r="B163" s="23" t="str" cm="1">
        <f t="array" ref="B163">_xlfn.TEXTJOIN(", ", TRUE(), _xlfn._xlws.FILTER(Spkrs_Rcrdngs[Speaker],Spkrs_Rcrdngs[Recording]=Rcrdngs[[#This Row],[Text]],"[no speaker selected in Speakers_in_Recordings]"))</f>
        <v>Harran01, Harran02, Ziyara01</v>
      </c>
      <c r="C163" s="24" t="str" cm="1">
        <f t="array" ref="C163">_xlfn.TEXTJOIN(", ", TRUE(), _xlfn._xlws.FILTER(Sbcts_Rcrdngs[Subject],Sbcts_Rcrdngs[Recording]=Rcrdngs[[#This Row],[Text]],"[no subject selected in Subjects_in_Recordings]"))</f>
        <v>Moses, God's Mercy</v>
      </c>
      <c r="D163" s="25">
        <v>40307</v>
      </c>
      <c r="E163" s="26" t="s">
        <v>994</v>
      </c>
      <c r="F163" s="27" t="s">
        <v>861</v>
      </c>
      <c r="G163" s="27" t="s">
        <v>605</v>
      </c>
      <c r="H163" s="27"/>
      <c r="I163" s="6"/>
      <c r="J163" s="6"/>
      <c r="K163" s="6"/>
      <c r="L163" s="6"/>
      <c r="M163" s="6"/>
      <c r="N163" s="6"/>
      <c r="O163" s="27" t="s">
        <v>862</v>
      </c>
      <c r="P163" s="34"/>
      <c r="Q163" s="28" t="s">
        <v>995</v>
      </c>
      <c r="R163" s="29"/>
    </row>
    <row r="164" spans="1:18" ht="17.25" customHeight="1">
      <c r="A164" s="35" t="s">
        <v>145</v>
      </c>
      <c r="B164" s="23" t="str" cm="1">
        <f t="array" ref="B164">_xlfn.TEXTJOIN(", ", TRUE(), _xlfn._xlws.FILTER(Spkrs_Rcrdngs[Speaker],Spkrs_Rcrdngs[Recording]=Rcrdngs[[#This Row],[Text]],"[no speaker selected in Speakers_in_Recordings]"))</f>
        <v>Harran01, Harran02</v>
      </c>
      <c r="C164" s="24" t="str" cm="1">
        <f t="array" ref="C164">_xlfn.TEXTJOIN(", ", TRUE(), _xlfn._xlws.FILTER(Sbcts_Rcrdngs[Subject],Sbcts_Rcrdngs[Recording]=Rcrdngs[[#This Row],[Text]],"[no subject selected in Subjects_in_Recordings]"))</f>
        <v>Gazelles, Jews</v>
      </c>
      <c r="D164" s="25">
        <v>40307</v>
      </c>
      <c r="E164" s="26" t="s">
        <v>996</v>
      </c>
      <c r="F164" s="27" t="s">
        <v>861</v>
      </c>
      <c r="G164" s="27" t="s">
        <v>605</v>
      </c>
      <c r="H164" s="27" t="s">
        <v>861</v>
      </c>
      <c r="I164" s="6" t="s">
        <v>604</v>
      </c>
      <c r="J164" s="6" t="s">
        <v>861</v>
      </c>
      <c r="K164" s="6" t="s">
        <v>604</v>
      </c>
      <c r="L164" s="6" t="s">
        <v>861</v>
      </c>
      <c r="M164" s="6" t="s">
        <v>604</v>
      </c>
      <c r="N164" s="6"/>
      <c r="O164" s="27" t="s">
        <v>862</v>
      </c>
      <c r="P164" s="34"/>
      <c r="Q164" s="28" t="s">
        <v>997</v>
      </c>
      <c r="R164" s="29"/>
    </row>
    <row r="165" spans="1:18" ht="17.25" customHeight="1">
      <c r="A165" s="30" t="s">
        <v>146</v>
      </c>
      <c r="B165" s="23" t="str" cm="1">
        <f t="array" ref="B165">_xlfn.TEXTJOIN(", ", TRUE(), _xlfn._xlws.FILTER(Spkrs_Rcrdngs[Speaker],Spkrs_Rcrdngs[Recording]=Rcrdngs[[#This Row],[Text]],"[no speaker selected in Speakers_in_Recordings]"))</f>
        <v>Harran01, Ziyara01</v>
      </c>
      <c r="C165" s="24" t="str" cm="1">
        <f t="array" ref="C165">_xlfn.TEXTJOIN(", ", TRUE(), _xlfn._xlws.FILTER(Sbcts_Rcrdngs[Subject],Sbcts_Rcrdngs[Recording]=Rcrdngs[[#This Row],[Text]],"[no subject selected in Subjects_in_Recordings]"))</f>
        <v xml:space="preserve">Food in Former Times </v>
      </c>
      <c r="D165" s="25">
        <v>40307</v>
      </c>
      <c r="E165" s="26" t="s">
        <v>998</v>
      </c>
      <c r="F165" s="27" t="s">
        <v>861</v>
      </c>
      <c r="G165" s="27" t="s">
        <v>605</v>
      </c>
      <c r="H165" s="27" t="s">
        <v>861</v>
      </c>
      <c r="I165" s="6" t="s">
        <v>604</v>
      </c>
      <c r="J165" s="6" t="s">
        <v>861</v>
      </c>
      <c r="K165" s="6" t="s">
        <v>604</v>
      </c>
      <c r="L165" s="6" t="s">
        <v>861</v>
      </c>
      <c r="M165" s="6" t="s">
        <v>604</v>
      </c>
      <c r="N165" s="6"/>
      <c r="O165" s="27" t="s">
        <v>862</v>
      </c>
      <c r="P165" s="34"/>
      <c r="Q165" s="34" t="s">
        <v>999</v>
      </c>
      <c r="R165" s="29"/>
    </row>
    <row r="166" spans="1:18" ht="17.25" customHeight="1">
      <c r="A166" s="30" t="s">
        <v>147</v>
      </c>
      <c r="B166" s="23" t="str" cm="1">
        <f t="array" ref="B166">_xlfn.TEXTJOIN(", ", TRUE(), _xlfn._xlws.FILTER(Spkrs_Rcrdngs[Speaker],Spkrs_Rcrdngs[Recording]=Rcrdngs[[#This Row],[Text]],"[no speaker selected in Speakers_in_Recordings]"))</f>
        <v>Harran01, Harran02</v>
      </c>
      <c r="C166" s="24" t="str" cm="1">
        <f t="array" ref="C166">_xlfn.TEXTJOIN(", ", TRUE(), _xlfn._xlws.FILTER(Sbcts_Rcrdngs[Subject],Sbcts_Rcrdngs[Recording]=Rcrdngs[[#This Row],[Text]],"[no subject selected in Subjects_in_Recordings]"))</f>
        <v>Words about Kids</v>
      </c>
      <c r="D166" s="25">
        <v>40308</v>
      </c>
      <c r="E166" s="26" t="s">
        <v>1000</v>
      </c>
      <c r="F166" s="27" t="s">
        <v>861</v>
      </c>
      <c r="G166" s="27" t="s">
        <v>605</v>
      </c>
      <c r="H166" s="27"/>
      <c r="I166" s="6"/>
      <c r="J166" s="6"/>
      <c r="K166" s="6"/>
      <c r="L166" s="6"/>
      <c r="M166" s="6"/>
      <c r="N166" s="6"/>
      <c r="O166" s="27" t="s">
        <v>862</v>
      </c>
      <c r="P166" s="34"/>
      <c r="Q166" s="34" t="s">
        <v>1001</v>
      </c>
      <c r="R166" s="29"/>
    </row>
    <row r="167" spans="1:18" ht="17.25" customHeight="1">
      <c r="A167" s="35" t="s">
        <v>148</v>
      </c>
      <c r="B167" s="23" t="str" cm="1">
        <f t="array" ref="B167">_xlfn.TEXTJOIN(", ", TRUE(), _xlfn._xlws.FILTER(Spkrs_Rcrdngs[Speaker],Spkrs_Rcrdngs[Recording]=Rcrdngs[[#This Row],[Text]],"[no speaker selected in Speakers_in_Recordings]"))</f>
        <v>Harran01, Harran02</v>
      </c>
      <c r="C167" s="24" t="str" cm="1">
        <f t="array" ref="C167">_xlfn.TEXTJOIN(", ", TRUE(), _xlfn._xlws.FILTER(Sbcts_Rcrdngs[Subject],Sbcts_Rcrdngs[Recording]=Rcrdngs[[#This Row],[Text]],"[no subject selected in Subjects_in_Recordings]"))</f>
        <v>Paradigm Rukba</v>
      </c>
      <c r="D167" s="25">
        <v>40308</v>
      </c>
      <c r="E167" s="26" t="s">
        <v>1002</v>
      </c>
      <c r="F167" s="27" t="s">
        <v>861</v>
      </c>
      <c r="G167" s="27" t="s">
        <v>605</v>
      </c>
      <c r="H167" s="27"/>
      <c r="I167" s="6"/>
      <c r="J167" s="6"/>
      <c r="K167" s="6"/>
      <c r="L167" s="6"/>
      <c r="M167" s="6"/>
      <c r="N167" s="6"/>
      <c r="O167" s="27" t="s">
        <v>862</v>
      </c>
      <c r="P167" s="34"/>
      <c r="Q167" s="28" t="s">
        <v>1003</v>
      </c>
      <c r="R167" s="29"/>
    </row>
    <row r="168" spans="1:18" ht="17.25" customHeight="1">
      <c r="A168" s="30" t="s">
        <v>149</v>
      </c>
      <c r="B168" s="23" t="str" cm="1">
        <f t="array" ref="B168">_xlfn.TEXTJOIN(", ", TRUE(), _xlfn._xlws.FILTER(Spkrs_Rcrdngs[Speaker],Spkrs_Rcrdngs[Recording]=Rcrdngs[[#This Row],[Text]],"[no speaker selected in Speakers_in_Recordings]"))</f>
        <v>Harran01, Harran02</v>
      </c>
      <c r="C168" s="24" t="str" cm="1">
        <f t="array" ref="C168">_xlfn.TEXTJOIN(", ", TRUE(), _xlfn._xlws.FILTER(Sbcts_Rcrdngs[Subject],Sbcts_Rcrdngs[Recording]=Rcrdngs[[#This Row],[Text]],"[no subject selected in Subjects_in_Recordings]"))</f>
        <v>B-sagti</v>
      </c>
      <c r="D168" s="25">
        <v>40308</v>
      </c>
      <c r="E168" s="26" t="s">
        <v>1004</v>
      </c>
      <c r="F168" s="27" t="s">
        <v>861</v>
      </c>
      <c r="G168" s="27" t="s">
        <v>605</v>
      </c>
      <c r="H168" s="27"/>
      <c r="I168" s="6"/>
      <c r="J168" s="6"/>
      <c r="K168" s="6"/>
      <c r="L168" s="6"/>
      <c r="M168" s="6"/>
      <c r="N168" s="6"/>
      <c r="O168" s="27" t="s">
        <v>862</v>
      </c>
      <c r="P168" s="34"/>
      <c r="Q168" s="34" t="s">
        <v>1005</v>
      </c>
      <c r="R168" s="29"/>
    </row>
    <row r="169" spans="1:18" ht="17.25" customHeight="1">
      <c r="A169" s="35" t="s">
        <v>150</v>
      </c>
      <c r="B169" s="23" t="str" cm="1">
        <f t="array" ref="B169">_xlfn.TEXTJOIN(", ", TRUE(), _xlfn._xlws.FILTER(Spkrs_Rcrdngs[Speaker],Spkrs_Rcrdngs[Recording]=Rcrdngs[[#This Row],[Text]],"[no speaker selected in Speakers_in_Recordings]"))</f>
        <v>Harran01, Harran02</v>
      </c>
      <c r="C169" s="24" t="str" cm="1">
        <f t="array" ref="C169">_xlfn.TEXTJOIN(", ", TRUE(), _xlfn._xlws.FILTER(Sbcts_Rcrdngs[Subject],Sbcts_Rcrdngs[Recording]=Rcrdngs[[#This Row],[Text]],"[no subject selected in Subjects_in_Recordings]"))</f>
        <v>Snake in the Cistern</v>
      </c>
      <c r="D169" s="25">
        <v>40308</v>
      </c>
      <c r="E169" s="26" t="s">
        <v>1006</v>
      </c>
      <c r="F169" s="27" t="s">
        <v>861</v>
      </c>
      <c r="G169" s="27" t="s">
        <v>605</v>
      </c>
      <c r="H169" s="27" t="s">
        <v>861</v>
      </c>
      <c r="I169" s="6" t="s">
        <v>604</v>
      </c>
      <c r="J169" s="6" t="s">
        <v>861</v>
      </c>
      <c r="K169" s="6" t="s">
        <v>604</v>
      </c>
      <c r="L169" s="6" t="s">
        <v>861</v>
      </c>
      <c r="M169" s="6" t="s">
        <v>604</v>
      </c>
      <c r="N169" s="6"/>
      <c r="O169" s="27" t="s">
        <v>862</v>
      </c>
      <c r="P169" s="34"/>
      <c r="Q169" s="28" t="s">
        <v>1007</v>
      </c>
      <c r="R169" s="29"/>
    </row>
    <row r="170" spans="1:18" ht="17.25" customHeight="1">
      <c r="A170" s="35" t="s">
        <v>151</v>
      </c>
      <c r="B170" s="23" t="str" cm="1">
        <f t="array" ref="B170">_xlfn.TEXTJOIN(", ", TRUE(), _xlfn._xlws.FILTER(Spkrs_Rcrdngs[Speaker],Spkrs_Rcrdngs[Recording]=Rcrdngs[[#This Row],[Text]],"[no speaker selected in Speakers_in_Recordings]"))</f>
        <v>Harran01, Harran02</v>
      </c>
      <c r="C170" s="24" t="str" cm="1">
        <f t="array" ref="C170">_xlfn.TEXTJOIN(", ", TRUE(), _xlfn._xlws.FILTER(Sbcts_Rcrdngs[Subject],Sbcts_Rcrdngs[Recording]=Rcrdngs[[#This Row],[Text]],"[no subject selected in Subjects_in_Recordings]"))</f>
        <v>Phone Call</v>
      </c>
      <c r="D170" s="25">
        <v>40308</v>
      </c>
      <c r="E170" s="26" t="s">
        <v>818</v>
      </c>
      <c r="F170" s="27" t="s">
        <v>861</v>
      </c>
      <c r="G170" s="27" t="s">
        <v>605</v>
      </c>
      <c r="H170" s="27"/>
      <c r="I170" s="6"/>
      <c r="J170" s="6"/>
      <c r="K170" s="6"/>
      <c r="L170" s="6"/>
      <c r="M170" s="6"/>
      <c r="N170" s="6"/>
      <c r="O170" s="27" t="s">
        <v>862</v>
      </c>
      <c r="P170" s="34"/>
      <c r="Q170" s="28" t="s">
        <v>1008</v>
      </c>
      <c r="R170" s="29"/>
    </row>
    <row r="171" spans="1:18" ht="17.25" customHeight="1">
      <c r="A171" s="35" t="s">
        <v>152</v>
      </c>
      <c r="B171" s="23" t="str" cm="1">
        <f t="array" ref="B171">_xlfn.TEXTJOIN(", ", TRUE(), _xlfn._xlws.FILTER(Spkrs_Rcrdngs[Speaker],Spkrs_Rcrdngs[Recording]=Rcrdngs[[#This Row],[Text]],"[no speaker selected in Speakers_in_Recordings]"))</f>
        <v>Harran01, Harran02</v>
      </c>
      <c r="C171" s="24" t="str" cm="1">
        <f t="array" ref="C171">_xlfn.TEXTJOIN(", ", TRUE(), _xlfn._xlws.FILTER(Sbcts_Rcrdngs[Subject],Sbcts_Rcrdngs[Recording]=Rcrdngs[[#This Row],[Text]],"[no subject selected in Subjects_in_Recordings]"))</f>
        <v>Smide</v>
      </c>
      <c r="D171" s="25">
        <v>40308</v>
      </c>
      <c r="E171" s="26" t="s">
        <v>1009</v>
      </c>
      <c r="F171" s="27" t="s">
        <v>861</v>
      </c>
      <c r="G171" s="27" t="s">
        <v>605</v>
      </c>
      <c r="H171" s="27" t="s">
        <v>861</v>
      </c>
      <c r="I171" s="6" t="s">
        <v>604</v>
      </c>
      <c r="J171" s="6" t="s">
        <v>861</v>
      </c>
      <c r="K171" s="6" t="s">
        <v>604</v>
      </c>
      <c r="L171" s="6" t="s">
        <v>861</v>
      </c>
      <c r="M171" s="6" t="s">
        <v>604</v>
      </c>
      <c r="N171" s="6"/>
      <c r="O171" s="27" t="s">
        <v>862</v>
      </c>
      <c r="P171" s="34"/>
      <c r="Q171" s="28" t="s">
        <v>1010</v>
      </c>
      <c r="R171" s="29"/>
    </row>
    <row r="172" spans="1:18" ht="17.25" customHeight="1">
      <c r="A172" s="35" t="s">
        <v>153</v>
      </c>
      <c r="B172" s="23" t="str" cm="1">
        <f t="array" ref="B172">_xlfn.TEXTJOIN(", ", TRUE(), _xlfn._xlws.FILTER(Spkrs_Rcrdngs[Speaker],Spkrs_Rcrdngs[Recording]=Rcrdngs[[#This Row],[Text]],"[no speaker selected in Speakers_in_Recordings]"))</f>
        <v>Harran01, Harran02</v>
      </c>
      <c r="C172" s="24" t="str" cm="1">
        <f t="array" ref="C172">_xlfn.TEXTJOIN(", ", TRUE(), _xlfn._xlws.FILTER(Sbcts_Rcrdngs[Subject],Sbcts_Rcrdngs[Recording]=Rcrdngs[[#This Row],[Text]],"[no subject selected in Subjects_in_Recordings]"))</f>
        <v>Pasha</v>
      </c>
      <c r="D172" s="25">
        <v>40308</v>
      </c>
      <c r="E172" s="26" t="s">
        <v>1011</v>
      </c>
      <c r="F172" s="27" t="s">
        <v>861</v>
      </c>
      <c r="G172" s="27" t="s">
        <v>605</v>
      </c>
      <c r="H172" s="27" t="s">
        <v>861</v>
      </c>
      <c r="I172" s="6" t="s">
        <v>604</v>
      </c>
      <c r="J172" s="6" t="s">
        <v>861</v>
      </c>
      <c r="K172" s="6"/>
      <c r="L172" s="6"/>
      <c r="M172" s="6"/>
      <c r="N172" s="6"/>
      <c r="O172" s="27" t="s">
        <v>862</v>
      </c>
      <c r="P172" s="34"/>
      <c r="Q172" s="28" t="s">
        <v>1012</v>
      </c>
      <c r="R172" s="29"/>
    </row>
    <row r="173" spans="1:18" ht="17.25" customHeight="1">
      <c r="A173" s="35" t="s">
        <v>154</v>
      </c>
      <c r="B173" s="23" t="str" cm="1">
        <f t="array" ref="B173">_xlfn.TEXTJOIN(", ", TRUE(), _xlfn._xlws.FILTER(Spkrs_Rcrdngs[Speaker],Spkrs_Rcrdngs[Recording]=Rcrdngs[[#This Row],[Text]],"[no speaker selected in Speakers_in_Recordings]"))</f>
        <v>Harran01, Harran02, Harran03</v>
      </c>
      <c r="C173" s="24" t="str" cm="1">
        <f t="array" ref="C173">_xlfn.TEXTJOIN(", ", TRUE(), _xlfn._xlws.FILTER(Sbcts_Rcrdngs[Subject],Sbcts_Rcrdngs[Recording]=Rcrdngs[[#This Row],[Text]],"[no subject selected in Subjects_in_Recordings]"))</f>
        <v>Baking Bread</v>
      </c>
      <c r="D173" s="25">
        <v>40308</v>
      </c>
      <c r="E173" s="26" t="s">
        <v>1013</v>
      </c>
      <c r="F173" s="27" t="s">
        <v>861</v>
      </c>
      <c r="G173" s="27" t="s">
        <v>605</v>
      </c>
      <c r="H173" s="27"/>
      <c r="I173" s="6"/>
      <c r="J173" s="6"/>
      <c r="K173" s="6"/>
      <c r="L173" s="6"/>
      <c r="M173" s="6"/>
      <c r="N173" s="6"/>
      <c r="O173" s="27" t="s">
        <v>862</v>
      </c>
      <c r="P173" s="34"/>
      <c r="Q173" s="28" t="s">
        <v>1014</v>
      </c>
      <c r="R173" s="29"/>
    </row>
    <row r="174" spans="1:18" ht="17.25" customHeight="1">
      <c r="A174" s="30" t="s">
        <v>155</v>
      </c>
      <c r="B174" s="23" t="str" cm="1">
        <f t="array" ref="B174">_xlfn.TEXTJOIN(", ", TRUE(), _xlfn._xlws.FILTER(Spkrs_Rcrdngs[Speaker],Spkrs_Rcrdngs[Recording]=Rcrdngs[[#This Row],[Text]],"[no speaker selected in Speakers_in_Recordings]"))</f>
        <v>Harran01, Harran02</v>
      </c>
      <c r="C174" s="24" t="str" cm="1">
        <f t="array" ref="C174">_xlfn.TEXTJOIN(", ", TRUE(), _xlfn._xlws.FILTER(Sbcts_Rcrdngs[Subject],Sbcts_Rcrdngs[Recording]=Rcrdngs[[#This Row],[Text]],"[no subject selected in Subjects_in_Recordings]"))</f>
        <v>Sultan Murad</v>
      </c>
      <c r="D174" s="25">
        <v>40308</v>
      </c>
      <c r="E174" s="26" t="s">
        <v>1015</v>
      </c>
      <c r="F174" s="27" t="s">
        <v>861</v>
      </c>
      <c r="G174" s="27" t="s">
        <v>605</v>
      </c>
      <c r="H174" s="27" t="s">
        <v>861</v>
      </c>
      <c r="I174" s="6" t="s">
        <v>604</v>
      </c>
      <c r="J174" s="6" t="s">
        <v>861</v>
      </c>
      <c r="K174" s="6" t="s">
        <v>861</v>
      </c>
      <c r="L174" s="6" t="s">
        <v>604</v>
      </c>
      <c r="M174" s="6" t="s">
        <v>604</v>
      </c>
      <c r="N174" s="6"/>
      <c r="O174" s="27" t="s">
        <v>862</v>
      </c>
      <c r="P174" s="34"/>
      <c r="Q174" s="34" t="s">
        <v>1016</v>
      </c>
      <c r="R174" s="29"/>
    </row>
    <row r="175" spans="1:18" ht="17.25" customHeight="1">
      <c r="A175" s="35" t="s">
        <v>156</v>
      </c>
      <c r="B175" s="23" t="str" cm="1">
        <f t="array" ref="B175">_xlfn.TEXTJOIN(", ", TRUE(), _xlfn._xlws.FILTER(Spkrs_Rcrdngs[Speaker],Spkrs_Rcrdngs[Recording]=Rcrdngs[[#This Row],[Text]],"[no speaker selected in Speakers_in_Recordings]"))</f>
        <v>Harran01, Harran02</v>
      </c>
      <c r="C175" s="24" t="str" cm="1">
        <f t="array" ref="C175">_xlfn.TEXTJOIN(", ", TRUE(), _xlfn._xlws.FILTER(Sbcts_Rcrdngs[Subject],Sbcts_Rcrdngs[Recording]=Rcrdngs[[#This Row],[Text]],"[no subject selected in Subjects_in_Recordings]"))</f>
        <v>Survey</v>
      </c>
      <c r="D175" s="25">
        <v>40308</v>
      </c>
      <c r="E175" s="26" t="s">
        <v>1017</v>
      </c>
      <c r="F175" s="27" t="s">
        <v>861</v>
      </c>
      <c r="G175" s="27" t="s">
        <v>605</v>
      </c>
      <c r="H175" s="27"/>
      <c r="I175" s="6"/>
      <c r="J175" s="6"/>
      <c r="K175" s="6"/>
      <c r="L175" s="6"/>
      <c r="M175" s="6"/>
      <c r="N175" s="6"/>
      <c r="O175" s="27" t="s">
        <v>862</v>
      </c>
      <c r="P175" s="34"/>
      <c r="Q175" s="28" t="s">
        <v>1018</v>
      </c>
      <c r="R175" s="29"/>
    </row>
    <row r="176" spans="1:18" ht="17.25" customHeight="1">
      <c r="A176" s="30" t="s">
        <v>157</v>
      </c>
      <c r="B176" s="23" t="str" cm="1">
        <f t="array" ref="B176">_xlfn.TEXTJOIN(", ", TRUE(), _xlfn._xlws.FILTER(Spkrs_Rcrdngs[Speaker],Spkrs_Rcrdngs[Recording]=Rcrdngs[[#This Row],[Text]],"[no speaker selected in Speakers_in_Recordings]"))</f>
        <v>Harran01, Harran02</v>
      </c>
      <c r="C176" s="24" t="str" cm="1">
        <f t="array" ref="C176">_xlfn.TEXTJOIN(", ", TRUE(), _xlfn._xlws.FILTER(Sbcts_Rcrdngs[Subject],Sbcts_Rcrdngs[Recording]=Rcrdngs[[#This Row],[Text]],"[no subject selected in Subjects_in_Recordings]"))</f>
        <v>Three Advices</v>
      </c>
      <c r="D176" s="25">
        <v>40308</v>
      </c>
      <c r="E176" s="26" t="s">
        <v>1019</v>
      </c>
      <c r="F176" s="27" t="s">
        <v>861</v>
      </c>
      <c r="G176" s="27" t="s">
        <v>605</v>
      </c>
      <c r="H176" s="27" t="s">
        <v>861</v>
      </c>
      <c r="I176" s="6" t="s">
        <v>604</v>
      </c>
      <c r="J176" s="6" t="s">
        <v>861</v>
      </c>
      <c r="K176" s="6" t="s">
        <v>604</v>
      </c>
      <c r="L176" s="6" t="s">
        <v>861</v>
      </c>
      <c r="M176" s="6" t="s">
        <v>604</v>
      </c>
      <c r="N176" s="6"/>
      <c r="O176" s="27" t="s">
        <v>862</v>
      </c>
      <c r="P176" s="34"/>
      <c r="Q176" s="34" t="s">
        <v>1020</v>
      </c>
      <c r="R176" s="29"/>
    </row>
    <row r="177" spans="1:18" ht="17.25" customHeight="1">
      <c r="A177" s="30" t="s">
        <v>158</v>
      </c>
      <c r="B177" s="23" t="str" cm="1">
        <f t="array" ref="B177">_xlfn.TEXTJOIN(", ", TRUE(), _xlfn._xlws.FILTER(Spkrs_Rcrdngs[Speaker],Spkrs_Rcrdngs[Recording]=Rcrdngs[[#This Row],[Text]],"[no speaker selected in Speakers_in_Recordings]"))</f>
        <v>Harran01, Harran02</v>
      </c>
      <c r="C177" s="24" t="str" cm="1">
        <f t="array" ref="C177">_xlfn.TEXTJOIN(", ", TRUE(), _xlfn._xlws.FILTER(Sbcts_Rcrdngs[Subject],Sbcts_Rcrdngs[Recording]=Rcrdngs[[#This Row],[Text]],"[no subject selected in Subjects_in_Recordings]"))</f>
        <v>Old Man and the Wezir</v>
      </c>
      <c r="D177" s="25">
        <v>40308</v>
      </c>
      <c r="E177" s="26" t="s">
        <v>1021</v>
      </c>
      <c r="F177" s="27" t="s">
        <v>861</v>
      </c>
      <c r="G177" s="27" t="s">
        <v>605</v>
      </c>
      <c r="H177" s="27"/>
      <c r="I177" s="6"/>
      <c r="J177" s="6"/>
      <c r="K177" s="6"/>
      <c r="L177" s="6"/>
      <c r="M177" s="6"/>
      <c r="N177" s="6"/>
      <c r="O177" s="27" t="s">
        <v>862</v>
      </c>
      <c r="P177" s="34"/>
      <c r="Q177" s="34" t="s">
        <v>1022</v>
      </c>
      <c r="R177" s="29"/>
    </row>
    <row r="178" spans="1:18" ht="17.25" customHeight="1">
      <c r="A178" s="30" t="s">
        <v>159</v>
      </c>
      <c r="B178" s="23" t="str" cm="1">
        <f t="array" ref="B178">_xlfn.TEXTJOIN(", ", TRUE(), _xlfn._xlws.FILTER(Spkrs_Rcrdngs[Speaker],Spkrs_Rcrdngs[Recording]=Rcrdngs[[#This Row],[Text]],"[no speaker selected in Speakers_in_Recordings]"))</f>
        <v>Harran01, Harran02</v>
      </c>
      <c r="C178" s="24" t="str" cm="1">
        <f t="array" ref="C178">_xlfn.TEXTJOIN(", ", TRUE(), _xlfn._xlws.FILTER(Sbcts_Rcrdngs[Subject],Sbcts_Rcrdngs[Recording]=Rcrdngs[[#This Row],[Text]],"[no subject selected in Subjects_in_Recordings]"))</f>
        <v>Three Daughters</v>
      </c>
      <c r="D178" s="25">
        <v>40308</v>
      </c>
      <c r="E178" s="26" t="s">
        <v>879</v>
      </c>
      <c r="F178" s="27" t="s">
        <v>861</v>
      </c>
      <c r="G178" s="27" t="s">
        <v>605</v>
      </c>
      <c r="H178" s="27" t="s">
        <v>861</v>
      </c>
      <c r="I178" s="6" t="s">
        <v>604</v>
      </c>
      <c r="J178" s="6" t="s">
        <v>861</v>
      </c>
      <c r="K178" s="6" t="s">
        <v>604</v>
      </c>
      <c r="L178" s="6" t="s">
        <v>861</v>
      </c>
      <c r="M178" s="6" t="s">
        <v>604</v>
      </c>
      <c r="N178" s="6"/>
      <c r="O178" s="27" t="s">
        <v>862</v>
      </c>
      <c r="P178" s="34"/>
      <c r="Q178" s="34" t="s">
        <v>1023</v>
      </c>
      <c r="R178" s="29"/>
    </row>
    <row r="179" spans="1:18" ht="17.25" customHeight="1">
      <c r="A179" s="35" t="s">
        <v>160</v>
      </c>
      <c r="B179" s="23" t="str" cm="1">
        <f t="array" ref="B179">_xlfn.TEXTJOIN(", ", TRUE(), _xlfn._xlws.FILTER(Spkrs_Rcrdngs[Speaker],Spkrs_Rcrdngs[Recording]=Rcrdngs[[#This Row],[Text]],"[no speaker selected in Speakers_in_Recordings]"))</f>
        <v>Harran01, Harran02, Urfa02</v>
      </c>
      <c r="C179" s="24" t="str" cm="1">
        <f t="array" ref="C179">_xlfn.TEXTJOIN(", ", TRUE(), _xlfn._xlws.FILTER(Sbcts_Rcrdngs[Subject],Sbcts_Rcrdngs[Recording]=Rcrdngs[[#This Row],[Text]],"[no subject selected in Subjects_in_Recordings]"))</f>
        <v>Young Woman, Smoking Woman, Tabak</v>
      </c>
      <c r="D179" s="25">
        <v>40309</v>
      </c>
      <c r="E179" s="26" t="s">
        <v>1024</v>
      </c>
      <c r="F179" s="27" t="s">
        <v>861</v>
      </c>
      <c r="G179" s="27" t="s">
        <v>605</v>
      </c>
      <c r="H179" s="27" t="s">
        <v>861</v>
      </c>
      <c r="I179" s="6" t="s">
        <v>604</v>
      </c>
      <c r="J179" s="6" t="s">
        <v>861</v>
      </c>
      <c r="K179" s="6" t="s">
        <v>861</v>
      </c>
      <c r="L179" s="6" t="s">
        <v>604</v>
      </c>
      <c r="M179" s="6" t="s">
        <v>604</v>
      </c>
      <c r="N179" s="6"/>
      <c r="O179" s="27" t="s">
        <v>862</v>
      </c>
      <c r="P179" s="34"/>
      <c r="Q179" s="28" t="s">
        <v>1025</v>
      </c>
      <c r="R179" s="29"/>
    </row>
    <row r="180" spans="1:18" ht="17.25" customHeight="1">
      <c r="A180" s="30" t="s">
        <v>161</v>
      </c>
      <c r="B180" s="23" t="str" cm="1">
        <f t="array" ref="B180">_xlfn.TEXTJOIN(", ", TRUE(), _xlfn._xlws.FILTER(Spkrs_Rcrdngs[Speaker],Spkrs_Rcrdngs[Recording]=Rcrdngs[[#This Row],[Text]],"[no speaker selected in Speakers_in_Recordings]"))</f>
        <v>Harran01, Urfa02, Harran02</v>
      </c>
      <c r="C180" s="24" t="str" cm="1">
        <f t="array" ref="C180">_xlfn.TEXTJOIN(", ", TRUE(), _xlfn._xlws.FILTER(Sbcts_Rcrdngs[Subject],Sbcts_Rcrdngs[Recording]=Rcrdngs[[#This Row],[Text]],"[no subject selected in Subjects_in_Recordings]"))</f>
        <v>Man from Tall Xarma</v>
      </c>
      <c r="D180" s="25">
        <v>40310</v>
      </c>
      <c r="E180" s="26" t="s">
        <v>1026</v>
      </c>
      <c r="F180" s="27" t="s">
        <v>861</v>
      </c>
      <c r="G180" s="27" t="s">
        <v>605</v>
      </c>
      <c r="H180" s="27"/>
      <c r="I180" s="6"/>
      <c r="J180" s="6"/>
      <c r="K180" s="6"/>
      <c r="L180" s="6"/>
      <c r="M180" s="6"/>
      <c r="N180" s="6"/>
      <c r="O180" s="27" t="s">
        <v>862</v>
      </c>
      <c r="P180" s="34"/>
      <c r="Q180" s="34" t="s">
        <v>1027</v>
      </c>
      <c r="R180" s="29"/>
    </row>
    <row r="181" spans="1:18" ht="17.25" customHeight="1">
      <c r="A181" s="35" t="s">
        <v>162</v>
      </c>
      <c r="B181" s="23" t="str" cm="1">
        <f t="array" ref="B181">_xlfn.TEXTJOIN(", ", TRUE(), _xlfn._xlws.FILTER(Spkrs_Rcrdngs[Speaker],Spkrs_Rcrdngs[Recording]=Rcrdngs[[#This Row],[Text]],"[no speaker selected in Speakers_in_Recordings]"))</f>
        <v>Harran01, Harran02, TallXarma01</v>
      </c>
      <c r="C181" s="24" t="str" cm="1">
        <f t="array" ref="C181">_xlfn.TEXTJOIN(", ", TRUE(), _xlfn._xlws.FILTER(Sbcts_Rcrdngs[Subject],Sbcts_Rcrdngs[Recording]=Rcrdngs[[#This Row],[Text]],"[no subject selected in Subjects_in_Recordings]"))</f>
        <v>Introducing</v>
      </c>
      <c r="D181" s="25">
        <v>40310</v>
      </c>
      <c r="E181" s="26" t="s">
        <v>1028</v>
      </c>
      <c r="F181" s="27" t="s">
        <v>861</v>
      </c>
      <c r="G181" s="27" t="s">
        <v>605</v>
      </c>
      <c r="H181" s="27"/>
      <c r="I181" s="6"/>
      <c r="J181" s="6"/>
      <c r="K181" s="6"/>
      <c r="L181" s="6"/>
      <c r="M181" s="6"/>
      <c r="N181" s="6"/>
      <c r="O181" s="27" t="s">
        <v>862</v>
      </c>
      <c r="P181" s="34"/>
      <c r="Q181" s="28" t="s">
        <v>1029</v>
      </c>
      <c r="R181" s="29"/>
    </row>
    <row r="182" spans="1:18" ht="17.25" customHeight="1">
      <c r="A182" s="35" t="s">
        <v>163</v>
      </c>
      <c r="B182" s="23" t="str" cm="1">
        <f t="array" ref="B182">_xlfn.TEXTJOIN(", ", TRUE(), _xlfn._xlws.FILTER(Spkrs_Rcrdngs[Speaker],Spkrs_Rcrdngs[Recording]=Rcrdngs[[#This Row],[Text]],"[no speaker selected in Speakers_in_Recordings]"))</f>
        <v>Harran01, Harran02, TallXarma01</v>
      </c>
      <c r="C182" s="24" t="str" cm="1">
        <f t="array" ref="C182">_xlfn.TEXTJOIN(", ", TRUE(), _xlfn._xlws.FILTER(Sbcts_Rcrdngs[Subject],Sbcts_Rcrdngs[Recording]=Rcrdngs[[#This Row],[Text]],"[no subject selected in Subjects_in_Recordings]"))</f>
        <v>Qasida on Saddam Hussein</v>
      </c>
      <c r="D182" s="25">
        <v>40310</v>
      </c>
      <c r="E182" s="26" t="s">
        <v>1030</v>
      </c>
      <c r="F182" s="27" t="s">
        <v>861</v>
      </c>
      <c r="G182" s="27" t="s">
        <v>605</v>
      </c>
      <c r="H182" s="27"/>
      <c r="I182" s="6"/>
      <c r="J182" s="6"/>
      <c r="K182" s="6"/>
      <c r="L182" s="6"/>
      <c r="M182" s="6"/>
      <c r="N182" s="6"/>
      <c r="O182" s="27" t="s">
        <v>862</v>
      </c>
      <c r="P182" s="34"/>
      <c r="Q182" s="28" t="s">
        <v>1031</v>
      </c>
      <c r="R182" s="29"/>
    </row>
    <row r="183" spans="1:18" ht="17.25" customHeight="1">
      <c r="A183" s="35" t="s">
        <v>164</v>
      </c>
      <c r="B183" s="23" t="str" cm="1">
        <f t="array" ref="B183">_xlfn.TEXTJOIN(", ", TRUE(), _xlfn._xlws.FILTER(Spkrs_Rcrdngs[Speaker],Spkrs_Rcrdngs[Recording]=Rcrdngs[[#This Row],[Text]],"[no speaker selected in Speakers_in_Recordings]"))</f>
        <v>TallXarma01</v>
      </c>
      <c r="C183" s="24" t="str" cm="1">
        <f t="array" ref="C183">_xlfn.TEXTJOIN(", ", TRUE(), _xlfn._xlws.FILTER(Sbcts_Rcrdngs[Subject],Sbcts_Rcrdngs[Recording]=Rcrdngs[[#This Row],[Text]],"[no subject selected in Subjects_in_Recordings]"))</f>
        <v>Tribes</v>
      </c>
      <c r="D183" s="25">
        <v>40310</v>
      </c>
      <c r="E183" s="26" t="s">
        <v>1032</v>
      </c>
      <c r="F183" s="27" t="s">
        <v>861</v>
      </c>
      <c r="G183" s="27" t="s">
        <v>605</v>
      </c>
      <c r="H183" s="27"/>
      <c r="I183" s="6"/>
      <c r="J183" s="6"/>
      <c r="K183" s="6"/>
      <c r="L183" s="6"/>
      <c r="M183" s="6"/>
      <c r="N183" s="6"/>
      <c r="O183" s="27" t="s">
        <v>862</v>
      </c>
      <c r="P183" s="34"/>
      <c r="Q183" s="28" t="s">
        <v>1033</v>
      </c>
      <c r="R183" s="29"/>
    </row>
    <row r="184" spans="1:18" ht="17.25" customHeight="1">
      <c r="A184" s="30" t="s">
        <v>165</v>
      </c>
      <c r="B184" s="23" t="str" cm="1">
        <f t="array" ref="B184">_xlfn.TEXTJOIN(", ", TRUE(), _xlfn._xlws.FILTER(Spkrs_Rcrdngs[Speaker],Spkrs_Rcrdngs[Recording]=Rcrdngs[[#This Row],[Text]],"[no speaker selected in Speakers_in_Recordings]"))</f>
        <v>TallXarma01</v>
      </c>
      <c r="C184" s="24" t="str" cm="1">
        <f t="array" ref="C184">_xlfn.TEXTJOIN(", ", TRUE(), _xlfn._xlws.FILTER(Sbcts_Rcrdngs[Subject],Sbcts_Rcrdngs[Recording]=Rcrdngs[[#This Row],[Text]],"[no subject selected in Subjects_in_Recordings]"))</f>
        <v>Bedouins</v>
      </c>
      <c r="D184" s="25">
        <v>40310</v>
      </c>
      <c r="E184" s="26" t="s">
        <v>1034</v>
      </c>
      <c r="F184" s="27" t="s">
        <v>861</v>
      </c>
      <c r="G184" s="27" t="s">
        <v>605</v>
      </c>
      <c r="H184" s="27"/>
      <c r="I184" s="6"/>
      <c r="J184" s="6"/>
      <c r="K184" s="6"/>
      <c r="L184" s="6"/>
      <c r="M184" s="6"/>
      <c r="N184" s="6"/>
      <c r="O184" s="27" t="s">
        <v>862</v>
      </c>
      <c r="P184" s="34"/>
      <c r="Q184" s="34" t="s">
        <v>1035</v>
      </c>
      <c r="R184" s="29"/>
    </row>
    <row r="185" spans="1:18" ht="17.25" customHeight="1">
      <c r="A185" s="30" t="s">
        <v>166</v>
      </c>
      <c r="B185" s="23" t="str" cm="1">
        <f t="array" ref="B185">_xlfn.TEXTJOIN(", ", TRUE(), _xlfn._xlws.FILTER(Spkrs_Rcrdngs[Speaker],Spkrs_Rcrdngs[Recording]=Rcrdngs[[#This Row],[Text]],"[no speaker selected in Speakers_in_Recordings]"))</f>
        <v>TallXarma01</v>
      </c>
      <c r="C185" s="24" t="str" cm="1">
        <f t="array" ref="C185">_xlfn.TEXTJOIN(", ", TRUE(), _xlfn._xlws.FILTER(Sbcts_Rcrdngs[Subject],Sbcts_Rcrdngs[Recording]=Rcrdngs[[#This Row],[Text]],"[no subject selected in Subjects_in_Recordings]"))</f>
        <v>Verses</v>
      </c>
      <c r="D185" s="25">
        <v>40310</v>
      </c>
      <c r="E185" s="26" t="s">
        <v>1036</v>
      </c>
      <c r="F185" s="27" t="s">
        <v>861</v>
      </c>
      <c r="G185" s="27" t="s">
        <v>605</v>
      </c>
      <c r="H185" s="27"/>
      <c r="I185" s="6"/>
      <c r="J185" s="6"/>
      <c r="K185" s="6"/>
      <c r="L185" s="6"/>
      <c r="M185" s="6"/>
      <c r="N185" s="6"/>
      <c r="O185" s="27" t="s">
        <v>862</v>
      </c>
      <c r="P185" s="34"/>
      <c r="Q185" s="34" t="s">
        <v>1037</v>
      </c>
      <c r="R185" s="29"/>
    </row>
    <row r="186" spans="1:18" ht="17.25" customHeight="1">
      <c r="A186" s="35" t="s">
        <v>167</v>
      </c>
      <c r="B186" s="23" t="str" cm="1">
        <f t="array" ref="B186">_xlfn.TEXTJOIN(", ", TRUE(), _xlfn._xlws.FILTER(Spkrs_Rcrdngs[Speaker],Spkrs_Rcrdngs[Recording]=Rcrdngs[[#This Row],[Text]],"[no speaker selected in Speakers_in_Recordings]"))</f>
        <v>Harran01, TallXarma01</v>
      </c>
      <c r="C186" s="24" t="str" cm="1">
        <f t="array" ref="C186">_xlfn.TEXTJOIN(", ", TRUE(), _xlfn._xlws.FILTER(Sbcts_Rcrdngs[Subject],Sbcts_Rcrdngs[Recording]=Rcrdngs[[#This Row],[Text]],"[no subject selected in Subjects_in_Recordings]"))</f>
        <v>Life in former Times</v>
      </c>
      <c r="D186" s="25">
        <v>40310</v>
      </c>
      <c r="E186" s="26" t="s">
        <v>1038</v>
      </c>
      <c r="F186" s="27" t="s">
        <v>861</v>
      </c>
      <c r="G186" s="27" t="s">
        <v>605</v>
      </c>
      <c r="H186" s="27" t="s">
        <v>861</v>
      </c>
      <c r="I186" s="6" t="s">
        <v>604</v>
      </c>
      <c r="J186" s="6" t="s">
        <v>861</v>
      </c>
      <c r="K186" s="6" t="s">
        <v>861</v>
      </c>
      <c r="L186" s="6" t="s">
        <v>604</v>
      </c>
      <c r="M186" s="6" t="s">
        <v>604</v>
      </c>
      <c r="N186" s="6"/>
      <c r="O186" s="27" t="s">
        <v>862</v>
      </c>
      <c r="P186" s="34"/>
      <c r="Q186" s="28" t="s">
        <v>1039</v>
      </c>
      <c r="R186" s="29"/>
    </row>
    <row r="187" spans="1:18" ht="17.25" customHeight="1">
      <c r="A187" s="30" t="s">
        <v>168</v>
      </c>
      <c r="B187" s="23" t="str" cm="1">
        <f t="array" ref="B187">_xlfn.TEXTJOIN(", ", TRUE(), _xlfn._xlws.FILTER(Spkrs_Rcrdngs[Speaker],Spkrs_Rcrdngs[Recording]=Rcrdngs[[#This Row],[Text]],"[no speaker selected in Speakers_in_Recordings]"))</f>
        <v>TallXarma01</v>
      </c>
      <c r="C187" s="24" t="str" cm="1">
        <f t="array" ref="C187">_xlfn.TEXTJOIN(", ", TRUE(), _xlfn._xlws.FILTER(Sbcts_Rcrdngs[Subject],Sbcts_Rcrdngs[Recording]=Rcrdngs[[#This Row],[Text]],"[no subject selected in Subjects_in_Recordings]"))</f>
        <v>Visa in Ankara, Qasida</v>
      </c>
      <c r="D187" s="25">
        <v>40310</v>
      </c>
      <c r="E187" s="26" t="s">
        <v>1040</v>
      </c>
      <c r="F187" s="27" t="s">
        <v>861</v>
      </c>
      <c r="G187" s="27" t="s">
        <v>605</v>
      </c>
      <c r="H187" s="27" t="s">
        <v>861</v>
      </c>
      <c r="I187" s="6" t="s">
        <v>604</v>
      </c>
      <c r="J187" s="6" t="s">
        <v>861</v>
      </c>
      <c r="K187" s="6" t="s">
        <v>604</v>
      </c>
      <c r="L187" s="6" t="s">
        <v>604</v>
      </c>
      <c r="M187" s="6" t="s">
        <v>604</v>
      </c>
      <c r="N187" s="6"/>
      <c r="O187" s="27" t="s">
        <v>862</v>
      </c>
      <c r="P187" s="34"/>
      <c r="Q187" s="34" t="s">
        <v>1041</v>
      </c>
      <c r="R187" s="29"/>
    </row>
    <row r="188" spans="1:18" ht="17.25" customHeight="1">
      <c r="A188" s="30" t="s">
        <v>169</v>
      </c>
      <c r="B188" s="23" t="str" cm="1">
        <f t="array" ref="B188">_xlfn.TEXTJOIN(", ", TRUE(), _xlfn._xlws.FILTER(Spkrs_Rcrdngs[Speaker],Spkrs_Rcrdngs[Recording]=Rcrdngs[[#This Row],[Text]],"[no speaker selected in Speakers_in_Recordings]"))</f>
        <v>Harran02, TallXarma01, Harran09</v>
      </c>
      <c r="C188" s="24" t="str" cm="1">
        <f t="array" ref="C188">_xlfn.TEXTJOIN(", ", TRUE(), _xlfn._xlws.FILTER(Sbcts_Rcrdngs[Subject],Sbcts_Rcrdngs[Recording]=Rcrdngs[[#This Row],[Text]],"[no subject selected in Subjects_in_Recordings]"))</f>
        <v>Cotton Business</v>
      </c>
      <c r="D188" s="25">
        <v>40310</v>
      </c>
      <c r="E188" s="26" t="s">
        <v>1042</v>
      </c>
      <c r="F188" s="27" t="s">
        <v>861</v>
      </c>
      <c r="G188" s="27" t="s">
        <v>605</v>
      </c>
      <c r="H188" s="27" t="s">
        <v>861</v>
      </c>
      <c r="I188" s="6" t="s">
        <v>604</v>
      </c>
      <c r="J188" s="6" t="s">
        <v>861</v>
      </c>
      <c r="K188" s="6" t="s">
        <v>604</v>
      </c>
      <c r="L188" s="6" t="s">
        <v>604</v>
      </c>
      <c r="M188" s="6" t="s">
        <v>604</v>
      </c>
      <c r="N188" s="6"/>
      <c r="O188" s="27" t="s">
        <v>862</v>
      </c>
      <c r="P188" s="34"/>
      <c r="Q188" s="34" t="s">
        <v>1043</v>
      </c>
      <c r="R188" s="29"/>
    </row>
    <row r="189" spans="1:18" ht="17.25" customHeight="1">
      <c r="A189" s="35" t="s">
        <v>170</v>
      </c>
      <c r="B189" s="23" t="str" cm="1">
        <f t="array" ref="B189">_xlfn.TEXTJOIN(", ", TRUE(), _xlfn._xlws.FILTER(Spkrs_Rcrdngs[Speaker],Spkrs_Rcrdngs[Recording]=Rcrdngs[[#This Row],[Text]],"[no speaker selected in Speakers_in_Recordings]"))</f>
        <v>Harran01, TallXarma01</v>
      </c>
      <c r="C189" s="24" t="str" cm="1">
        <f t="array" ref="C189">_xlfn.TEXTJOIN(", ", TRUE(), _xlfn._xlws.FILTER(Sbcts_Rcrdngs[Subject],Sbcts_Rcrdngs[Recording]=Rcrdngs[[#This Row],[Text]],"[no subject selected in Subjects_in_Recordings]"))</f>
        <v>Tribe's Leader</v>
      </c>
      <c r="D189" s="25">
        <v>40310</v>
      </c>
      <c r="E189" s="26" t="s">
        <v>1044</v>
      </c>
      <c r="F189" s="27" t="s">
        <v>861</v>
      </c>
      <c r="G189" s="27" t="s">
        <v>605</v>
      </c>
      <c r="H189" s="27"/>
      <c r="I189" s="6"/>
      <c r="J189" s="6"/>
      <c r="K189" s="6"/>
      <c r="L189" s="6"/>
      <c r="M189" s="6"/>
      <c r="N189" s="6"/>
      <c r="O189" s="27" t="s">
        <v>862</v>
      </c>
      <c r="P189" s="34"/>
      <c r="Q189" s="28" t="s">
        <v>1045</v>
      </c>
      <c r="R189" s="29"/>
    </row>
    <row r="190" spans="1:18" ht="17.25" customHeight="1">
      <c r="A190" s="35" t="s">
        <v>171</v>
      </c>
      <c r="B190" s="23" t="str" cm="1">
        <f t="array" ref="B190">_xlfn.TEXTJOIN(", ", TRUE(), _xlfn._xlws.FILTER(Spkrs_Rcrdngs[Speaker],Spkrs_Rcrdngs[Recording]=Rcrdngs[[#This Row],[Text]],"[no speaker selected in Speakers_in_Recordings]"))</f>
        <v>TallXarma01</v>
      </c>
      <c r="C190" s="24" t="str" cm="1">
        <f t="array" ref="C190">_xlfn.TEXTJOIN(", ", TRUE(), _xlfn._xlws.FILTER(Sbcts_Rcrdngs[Subject],Sbcts_Rcrdngs[Recording]=Rcrdngs[[#This Row],[Text]],"[no subject selected in Subjects_in_Recordings]"))</f>
        <v>Salim az-Zir</v>
      </c>
      <c r="D190" s="25">
        <v>40310</v>
      </c>
      <c r="E190" s="26" t="s">
        <v>637</v>
      </c>
      <c r="F190" s="27" t="s">
        <v>861</v>
      </c>
      <c r="G190" s="27" t="s">
        <v>605</v>
      </c>
      <c r="H190" s="27" t="s">
        <v>861</v>
      </c>
      <c r="I190" s="6" t="s">
        <v>604</v>
      </c>
      <c r="J190" s="6" t="s">
        <v>861</v>
      </c>
      <c r="K190" s="6" t="s">
        <v>861</v>
      </c>
      <c r="L190" s="6" t="s">
        <v>604</v>
      </c>
      <c r="M190" s="6" t="s">
        <v>604</v>
      </c>
      <c r="N190" s="6"/>
      <c r="O190" s="27" t="s">
        <v>862</v>
      </c>
      <c r="P190" s="34"/>
      <c r="Q190" s="28" t="s">
        <v>1046</v>
      </c>
      <c r="R190" s="29"/>
    </row>
    <row r="191" spans="1:18" ht="17.25" customHeight="1">
      <c r="A191" s="30" t="s">
        <v>172</v>
      </c>
      <c r="B191" s="23" t="str" cm="1">
        <f t="array" ref="B191">_xlfn.TEXTJOIN(", ", TRUE(), _xlfn._xlws.FILTER(Spkrs_Rcrdngs[Speaker],Spkrs_Rcrdngs[Recording]=Rcrdngs[[#This Row],[Text]],"[no speaker selected in Speakers_in_Recordings]"))</f>
        <v>TallXarma01, Harran02, Harran09</v>
      </c>
      <c r="C191" s="24" t="str" cm="1">
        <f t="array" ref="C191">_xlfn.TEXTJOIN(", ", TRUE(), _xlfn._xlws.FILTER(Sbcts_Rcrdngs[Subject],Sbcts_Rcrdngs[Recording]=Rcrdngs[[#This Row],[Text]],"[no subject selected in Subjects_in_Recordings]"))</f>
        <v>Name Engraving</v>
      </c>
      <c r="D191" s="25">
        <v>40310</v>
      </c>
      <c r="E191" s="26" t="s">
        <v>1047</v>
      </c>
      <c r="F191" s="27" t="s">
        <v>861</v>
      </c>
      <c r="G191" s="27" t="s">
        <v>605</v>
      </c>
      <c r="H191" s="27"/>
      <c r="I191" s="6"/>
      <c r="J191" s="6"/>
      <c r="K191" s="6"/>
      <c r="L191" s="6"/>
      <c r="M191" s="6"/>
      <c r="N191" s="6"/>
      <c r="O191" s="27" t="s">
        <v>862</v>
      </c>
      <c r="P191" s="34"/>
      <c r="Q191" s="34" t="s">
        <v>1048</v>
      </c>
      <c r="R191" s="29"/>
    </row>
    <row r="192" spans="1:18" ht="17.25" customHeight="1">
      <c r="A192" s="30" t="s">
        <v>173</v>
      </c>
      <c r="B192" s="23" t="str" cm="1">
        <f t="array" ref="B192">_xlfn.TEXTJOIN(", ", TRUE(), _xlfn._xlws.FILTER(Spkrs_Rcrdngs[Speaker],Spkrs_Rcrdngs[Recording]=Rcrdngs[[#This Row],[Text]],"[no speaker selected in Speakers_in_Recordings]"))</f>
        <v>Harran01, TallXarma01</v>
      </c>
      <c r="C192" s="24" t="str" cm="1">
        <f t="array" ref="C192">_xlfn.TEXTJOIN(", ", TRUE(), _xlfn._xlws.FILTER(Sbcts_Rcrdngs[Subject],Sbcts_Rcrdngs[Recording]=Rcrdngs[[#This Row],[Text]],"[no subject selected in Subjects_in_Recordings]"))</f>
        <v>Tall Nasir</v>
      </c>
      <c r="D192" s="25">
        <v>40310</v>
      </c>
      <c r="E192" s="26" t="s">
        <v>1049</v>
      </c>
      <c r="F192" s="27" t="s">
        <v>861</v>
      </c>
      <c r="G192" s="27" t="s">
        <v>605</v>
      </c>
      <c r="H192" s="27" t="s">
        <v>861</v>
      </c>
      <c r="I192" s="6" t="s">
        <v>604</v>
      </c>
      <c r="J192" s="6" t="s">
        <v>861</v>
      </c>
      <c r="K192" s="6" t="s">
        <v>861</v>
      </c>
      <c r="L192" s="6" t="s">
        <v>604</v>
      </c>
      <c r="M192" s="6" t="s">
        <v>604</v>
      </c>
      <c r="N192" s="6"/>
      <c r="O192" s="27" t="s">
        <v>862</v>
      </c>
      <c r="P192" s="34"/>
      <c r="Q192" s="34" t="s">
        <v>1050</v>
      </c>
      <c r="R192" s="29"/>
    </row>
    <row r="193" spans="1:18" ht="17.25" customHeight="1">
      <c r="A193" s="35" t="s">
        <v>174</v>
      </c>
      <c r="B193" s="23" t="str" cm="1">
        <f t="array" ref="B193">_xlfn.TEXTJOIN(", ", TRUE(), _xlfn._xlws.FILTER(Spkrs_Rcrdngs[Speaker],Spkrs_Rcrdngs[Recording]=Rcrdngs[[#This Row],[Text]],"[no speaker selected in Speakers_in_Recordings]"))</f>
        <v>Harran01, TallXarma01, Harran09, Harran02</v>
      </c>
      <c r="C193" s="24" t="str" cm="1">
        <f t="array" ref="C193">_xlfn.TEXTJOIN(", ", TRUE(), _xlfn._xlws.FILTER(Sbcts_Rcrdngs[Subject],Sbcts_Rcrdngs[Recording]=Rcrdngs[[#This Row],[Text]],"[no subject selected in Subjects_in_Recordings]"))</f>
        <v>Shammar, Ibrahim Pasha</v>
      </c>
      <c r="D193" s="25">
        <v>40310</v>
      </c>
      <c r="E193" s="26" t="s">
        <v>684</v>
      </c>
      <c r="F193" s="27" t="s">
        <v>861</v>
      </c>
      <c r="G193" s="27" t="s">
        <v>605</v>
      </c>
      <c r="H193" s="27"/>
      <c r="I193" s="6"/>
      <c r="J193" s="6"/>
      <c r="K193" s="6"/>
      <c r="L193" s="6"/>
      <c r="M193" s="6"/>
      <c r="N193" s="6"/>
      <c r="O193" s="27" t="s">
        <v>862</v>
      </c>
      <c r="P193" s="34"/>
      <c r="Q193" s="28" t="s">
        <v>1051</v>
      </c>
      <c r="R193" s="29"/>
    </row>
    <row r="194" spans="1:18" ht="17.25" customHeight="1">
      <c r="A194" s="35" t="s">
        <v>175</v>
      </c>
      <c r="B194" s="23" t="str" cm="1">
        <f t="array" ref="B194">_xlfn.TEXTJOIN(", ", TRUE(), _xlfn._xlws.FILTER(Spkrs_Rcrdngs[Speaker],Spkrs_Rcrdngs[Recording]=Rcrdngs[[#This Row],[Text]],"[no speaker selected in Speakers_in_Recordings]"))</f>
        <v>Harran01, TallXarma01, Harran02, Harran09</v>
      </c>
      <c r="C194" s="24" t="str" cm="1">
        <f t="array" ref="C194">_xlfn.TEXTJOIN(", ", TRUE(), _xlfn._xlws.FILTER(Sbcts_Rcrdngs[Subject],Sbcts_Rcrdngs[Recording]=Rcrdngs[[#This Row],[Text]],"[no subject selected in Subjects_in_Recordings]"))</f>
        <v>Tribes, Former Times, Bani Hilal</v>
      </c>
      <c r="D194" s="25">
        <v>40310</v>
      </c>
      <c r="E194" s="26" t="s">
        <v>1052</v>
      </c>
      <c r="F194" s="27" t="s">
        <v>861</v>
      </c>
      <c r="G194" s="27" t="s">
        <v>605</v>
      </c>
      <c r="H194" s="27"/>
      <c r="I194" s="6"/>
      <c r="J194" s="6"/>
      <c r="K194" s="6"/>
      <c r="L194" s="6"/>
      <c r="M194" s="6"/>
      <c r="N194" s="6"/>
      <c r="O194" s="27" t="s">
        <v>862</v>
      </c>
      <c r="P194" s="34"/>
      <c r="Q194" s="28" t="s">
        <v>1053</v>
      </c>
      <c r="R194" s="29"/>
    </row>
    <row r="195" spans="1:18" ht="17.25" customHeight="1">
      <c r="A195" s="35" t="s">
        <v>176</v>
      </c>
      <c r="B195" s="23" t="str" cm="1">
        <f t="array" ref="B195">_xlfn.TEXTJOIN(", ", TRUE(), _xlfn._xlws.FILTER(Spkrs_Rcrdngs[Speaker],Spkrs_Rcrdngs[Recording]=Rcrdngs[[#This Row],[Text]],"[no speaker selected in Speakers_in_Recordings]"))</f>
        <v>Harran01, TallXarma01, Harran09</v>
      </c>
      <c r="C195" s="24" t="str" cm="1">
        <f t="array" ref="C195">_xlfn.TEXTJOIN(", ", TRUE(), _xlfn._xlws.FILTER(Sbcts_Rcrdngs[Subject],Sbcts_Rcrdngs[Recording]=Rcrdngs[[#This Row],[Text]],"[no subject selected in Subjects_in_Recordings]"))</f>
        <v>Camel</v>
      </c>
      <c r="D195" s="25">
        <v>40310</v>
      </c>
      <c r="E195" s="26" t="s">
        <v>1054</v>
      </c>
      <c r="F195" s="27" t="s">
        <v>861</v>
      </c>
      <c r="G195" s="27" t="s">
        <v>605</v>
      </c>
      <c r="H195" s="27" t="s">
        <v>861</v>
      </c>
      <c r="I195" s="6" t="s">
        <v>604</v>
      </c>
      <c r="J195" s="6" t="s">
        <v>861</v>
      </c>
      <c r="K195" s="6" t="s">
        <v>604</v>
      </c>
      <c r="L195" s="6" t="s">
        <v>861</v>
      </c>
      <c r="M195" s="6" t="s">
        <v>604</v>
      </c>
      <c r="N195" s="6"/>
      <c r="O195" s="27" t="s">
        <v>862</v>
      </c>
      <c r="P195" s="34"/>
      <c r="Q195" s="28" t="s">
        <v>1055</v>
      </c>
      <c r="R195" s="29"/>
    </row>
    <row r="196" spans="1:18" ht="17.25" customHeight="1">
      <c r="A196" s="35" t="s">
        <v>177</v>
      </c>
      <c r="B196" s="23" t="str" cm="1">
        <f t="array" ref="B196">_xlfn.TEXTJOIN(", ", TRUE(), _xlfn._xlws.FILTER(Spkrs_Rcrdngs[Speaker],Spkrs_Rcrdngs[Recording]=Rcrdngs[[#This Row],[Text]],"[no speaker selected in Speakers_in_Recordings]"))</f>
        <v>Harran01, TallXarma01, Harran02, Harran09</v>
      </c>
      <c r="C196" s="24" t="str" cm="1">
        <f t="array" ref="C196">_xlfn.TEXTJOIN(", ", TRUE(), _xlfn._xlws.FILTER(Sbcts_Rcrdngs[Subject],Sbcts_Rcrdngs[Recording]=Rcrdngs[[#This Row],[Text]],"[no subject selected in Subjects_in_Recordings]"))</f>
        <v>Stories</v>
      </c>
      <c r="D196" s="25">
        <v>40310</v>
      </c>
      <c r="E196" s="26" t="s">
        <v>1056</v>
      </c>
      <c r="F196" s="27" t="s">
        <v>861</v>
      </c>
      <c r="G196" s="27" t="s">
        <v>605</v>
      </c>
      <c r="H196" s="27"/>
      <c r="I196" s="6"/>
      <c r="J196" s="6"/>
      <c r="K196" s="6"/>
      <c r="L196" s="6"/>
      <c r="M196" s="6"/>
      <c r="N196" s="6"/>
      <c r="O196" s="27" t="s">
        <v>862</v>
      </c>
      <c r="P196" s="34"/>
      <c r="Q196" s="28" t="s">
        <v>1057</v>
      </c>
      <c r="R196" s="29"/>
    </row>
    <row r="197" spans="1:18" ht="17.25" customHeight="1">
      <c r="A197" s="35" t="s">
        <v>178</v>
      </c>
      <c r="B197" s="23" t="str" cm="1">
        <f t="array" ref="B197">_xlfn.TEXTJOIN(", ", TRUE(), _xlfn._xlws.FILTER(Spkrs_Rcrdngs[Speaker],Spkrs_Rcrdngs[Recording]=Rcrdngs[[#This Row],[Text]],"[no speaker selected in Speakers_in_Recordings]"))</f>
        <v>Harran01, TallXarma01, Harran02, Harran09</v>
      </c>
      <c r="C197" s="24" t="str" cm="1">
        <f t="array" ref="C197">_xlfn.TEXTJOIN(", ", TRUE(), _xlfn._xlws.FILTER(Sbcts_Rcrdngs[Subject],Sbcts_Rcrdngs[Recording]=Rcrdngs[[#This Row],[Text]],"[no subject selected in Subjects_in_Recordings]"))</f>
        <v>Camel</v>
      </c>
      <c r="D197" s="25">
        <v>40310</v>
      </c>
      <c r="E197" s="26" t="s">
        <v>1058</v>
      </c>
      <c r="F197" s="27" t="s">
        <v>861</v>
      </c>
      <c r="G197" s="27" t="s">
        <v>605</v>
      </c>
      <c r="H197" s="27"/>
      <c r="I197" s="6"/>
      <c r="J197" s="6"/>
      <c r="K197" s="6"/>
      <c r="L197" s="6"/>
      <c r="M197" s="6"/>
      <c r="N197" s="6"/>
      <c r="O197" s="27" t="s">
        <v>862</v>
      </c>
      <c r="P197" s="34"/>
      <c r="Q197" s="28" t="s">
        <v>1059</v>
      </c>
      <c r="R197" s="29"/>
    </row>
    <row r="198" spans="1:18" ht="17.25" customHeight="1">
      <c r="A198" s="35" t="s">
        <v>179</v>
      </c>
      <c r="B198" s="23" t="str" cm="1">
        <f t="array" ref="B198">_xlfn.TEXTJOIN(", ", TRUE(), _xlfn._xlws.FILTER(Spkrs_Rcrdngs[Speaker],Spkrs_Rcrdngs[Recording]=Rcrdngs[[#This Row],[Text]],"[no speaker selected in Speakers_in_Recordings]"))</f>
        <v>Harran01, TallXarma01, Harran02, Harran09</v>
      </c>
      <c r="C198" s="24" t="str" cm="1">
        <f t="array" ref="C198">_xlfn.TEXTJOIN(", ", TRUE(), _xlfn._xlws.FILTER(Sbcts_Rcrdngs[Subject],Sbcts_Rcrdngs[Recording]=Rcrdngs[[#This Row],[Text]],"[no subject selected in Subjects_in_Recordings]"))</f>
        <v>Camel Milk</v>
      </c>
      <c r="D198" s="25">
        <v>40310</v>
      </c>
      <c r="E198" s="26" t="s">
        <v>905</v>
      </c>
      <c r="F198" s="27" t="s">
        <v>861</v>
      </c>
      <c r="G198" s="27" t="s">
        <v>605</v>
      </c>
      <c r="H198" s="27"/>
      <c r="I198" s="6"/>
      <c r="J198" s="6"/>
      <c r="K198" s="6"/>
      <c r="L198" s="6"/>
      <c r="M198" s="6"/>
      <c r="N198" s="6"/>
      <c r="O198" s="27" t="s">
        <v>862</v>
      </c>
      <c r="P198" s="34"/>
      <c r="Q198" s="28" t="s">
        <v>1060</v>
      </c>
      <c r="R198" s="29"/>
    </row>
    <row r="199" spans="1:18" ht="17.25" customHeight="1">
      <c r="A199" s="35" t="s">
        <v>180</v>
      </c>
      <c r="B199" s="23" t="str" cm="1">
        <f t="array" ref="B199">_xlfn.TEXTJOIN(", ", TRUE(), _xlfn._xlws.FILTER(Spkrs_Rcrdngs[Speaker],Spkrs_Rcrdngs[Recording]=Rcrdngs[[#This Row],[Text]],"[no speaker selected in Speakers_in_Recordings]"))</f>
        <v>Harran01, Harran02</v>
      </c>
      <c r="C199" s="24" t="str" cm="1">
        <f t="array" ref="C199">_xlfn.TEXTJOIN(", ", TRUE(), _xlfn._xlws.FILTER(Sbcts_Rcrdngs[Subject],Sbcts_Rcrdngs[Recording]=Rcrdngs[[#This Row],[Text]],"[no subject selected in Subjects_in_Recordings]"))</f>
        <v>Engagement, Cousin's Veto</v>
      </c>
      <c r="D199" s="25">
        <v>40312</v>
      </c>
      <c r="E199" s="26" t="s">
        <v>1061</v>
      </c>
      <c r="F199" s="27" t="s">
        <v>861</v>
      </c>
      <c r="G199" s="27" t="s">
        <v>605</v>
      </c>
      <c r="H199" s="27" t="s">
        <v>861</v>
      </c>
      <c r="I199" s="6" t="s">
        <v>604</v>
      </c>
      <c r="J199" s="6" t="s">
        <v>861</v>
      </c>
      <c r="K199" s="6" t="s">
        <v>604</v>
      </c>
      <c r="L199" s="6" t="s">
        <v>861</v>
      </c>
      <c r="M199" s="6" t="s">
        <v>604</v>
      </c>
      <c r="N199" s="6"/>
      <c r="O199" s="27" t="s">
        <v>862</v>
      </c>
      <c r="P199" s="34"/>
      <c r="Q199" s="28" t="s">
        <v>1062</v>
      </c>
      <c r="R199" s="29"/>
    </row>
    <row r="200" spans="1:18" ht="17.25" customHeight="1">
      <c r="A200" s="35" t="s">
        <v>181</v>
      </c>
      <c r="B200" s="23" t="str" cm="1">
        <f t="array" ref="B200">_xlfn.TEXTJOIN(", ", TRUE(), _xlfn._xlws.FILTER(Spkrs_Rcrdngs[Speaker],Spkrs_Rcrdngs[Recording]=Rcrdngs[[#This Row],[Text]],"[no speaker selected in Speakers_in_Recordings]"))</f>
        <v>Harran01, Harran02</v>
      </c>
      <c r="C200" s="24" t="str" cm="1">
        <f t="array" ref="C200">_xlfn.TEXTJOIN(", ", TRUE(), _xlfn._xlws.FILTER(Sbcts_Rcrdngs[Subject],Sbcts_Rcrdngs[Recording]=Rcrdngs[[#This Row],[Text]],"[no subject selected in Subjects_in_Recordings]"))</f>
        <v>Cross Marriage</v>
      </c>
      <c r="D200" s="25">
        <v>40312</v>
      </c>
      <c r="E200" s="26" t="s">
        <v>702</v>
      </c>
      <c r="F200" s="27" t="s">
        <v>861</v>
      </c>
      <c r="G200" s="27" t="s">
        <v>605</v>
      </c>
      <c r="H200" s="27" t="s">
        <v>861</v>
      </c>
      <c r="I200" s="6" t="s">
        <v>604</v>
      </c>
      <c r="J200" s="6" t="s">
        <v>861</v>
      </c>
      <c r="K200" s="6" t="s">
        <v>604</v>
      </c>
      <c r="L200" s="6" t="s">
        <v>861</v>
      </c>
      <c r="M200" s="6" t="s">
        <v>604</v>
      </c>
      <c r="N200" s="6"/>
      <c r="O200" s="27" t="s">
        <v>862</v>
      </c>
      <c r="P200" s="34"/>
      <c r="Q200" s="28" t="s">
        <v>1063</v>
      </c>
      <c r="R200" s="29"/>
    </row>
    <row r="201" spans="1:18" ht="17.25" customHeight="1">
      <c r="A201" s="35" t="s">
        <v>182</v>
      </c>
      <c r="B201" s="23" t="str" cm="1">
        <f t="array" ref="B201">_xlfn.TEXTJOIN(", ", TRUE(), _xlfn._xlws.FILTER(Spkrs_Rcrdngs[Speaker],Spkrs_Rcrdngs[Recording]=Rcrdngs[[#This Row],[Text]],"[no speaker selected in Speakers_in_Recordings]"))</f>
        <v>Harran01, Harran02</v>
      </c>
      <c r="C201" s="24" t="str" cm="1">
        <f t="array" ref="C201">_xlfn.TEXTJOIN(", ", TRUE(), _xlfn._xlws.FILTER(Sbcts_Rcrdngs[Subject],Sbcts_Rcrdngs[Recording]=Rcrdngs[[#This Row],[Text]],"[no subject selected in Subjects_in_Recordings]"))</f>
        <v>Honey Salesman</v>
      </c>
      <c r="D201" s="25">
        <v>40312</v>
      </c>
      <c r="E201" s="26" t="s">
        <v>1064</v>
      </c>
      <c r="F201" s="27" t="s">
        <v>861</v>
      </c>
      <c r="G201" s="27" t="s">
        <v>605</v>
      </c>
      <c r="H201" s="27"/>
      <c r="I201" s="6"/>
      <c r="J201" s="6"/>
      <c r="K201" s="6"/>
      <c r="L201" s="6"/>
      <c r="M201" s="6"/>
      <c r="N201" s="6"/>
      <c r="O201" s="27" t="s">
        <v>862</v>
      </c>
      <c r="P201" s="34"/>
      <c r="Q201" s="28" t="s">
        <v>1065</v>
      </c>
      <c r="R201" s="29"/>
    </row>
    <row r="202" spans="1:18" ht="17.25" customHeight="1">
      <c r="A202" s="35" t="s">
        <v>183</v>
      </c>
      <c r="B202" s="23" t="str" cm="1">
        <f t="array" ref="B202">_xlfn.TEXTJOIN(", ", TRUE(), _xlfn._xlws.FILTER(Spkrs_Rcrdngs[Speaker],Spkrs_Rcrdngs[Recording]=Rcrdngs[[#This Row],[Text]],"[no speaker selected in Speakers_in_Recordings]"))</f>
        <v>Harran01, Harran02</v>
      </c>
      <c r="C202" s="24" t="str" cm="1">
        <f t="array" ref="C202">_xlfn.TEXTJOIN(", ", TRUE(), _xlfn._xlws.FILTER(Sbcts_Rcrdngs[Subject],Sbcts_Rcrdngs[Recording]=Rcrdngs[[#This Row],[Text]],"[no subject selected in Subjects_in_Recordings]"))</f>
        <v>Nimrod</v>
      </c>
      <c r="D202" s="25">
        <v>40312</v>
      </c>
      <c r="E202" s="26" t="s">
        <v>1066</v>
      </c>
      <c r="F202" s="27" t="s">
        <v>861</v>
      </c>
      <c r="G202" s="27" t="s">
        <v>605</v>
      </c>
      <c r="H202" s="27" t="s">
        <v>861</v>
      </c>
      <c r="I202" s="6" t="s">
        <v>604</v>
      </c>
      <c r="J202" s="6" t="s">
        <v>861</v>
      </c>
      <c r="K202" s="6" t="s">
        <v>861</v>
      </c>
      <c r="L202" s="6" t="s">
        <v>604</v>
      </c>
      <c r="M202" s="6" t="s">
        <v>604</v>
      </c>
      <c r="N202" s="6"/>
      <c r="O202" s="27" t="s">
        <v>862</v>
      </c>
      <c r="P202" s="34"/>
      <c r="Q202" s="28" t="s">
        <v>1067</v>
      </c>
      <c r="R202" s="29"/>
    </row>
    <row r="203" spans="1:18" ht="17.25" customHeight="1">
      <c r="A203" s="35" t="s">
        <v>184</v>
      </c>
      <c r="B203" s="23" t="str" cm="1">
        <f t="array" ref="B203">_xlfn.TEXTJOIN(", ", TRUE(), _xlfn._xlws.FILTER(Spkrs_Rcrdngs[Speaker],Spkrs_Rcrdngs[Recording]=Rcrdngs[[#This Row],[Text]],"[no speaker selected in Speakers_in_Recordings]"))</f>
        <v>Harran01, Harran02</v>
      </c>
      <c r="C203" s="24" t="str" cm="1">
        <f t="array" ref="C203">_xlfn.TEXTJOIN(", ", TRUE(), _xlfn._xlws.FILTER(Sbcts_Rcrdngs[Subject],Sbcts_Rcrdngs[Recording]=Rcrdngs[[#This Row],[Text]],"[no subject selected in Subjects_in_Recordings]"))</f>
        <v>Stealing Boy</v>
      </c>
      <c r="D203" s="25">
        <v>40312</v>
      </c>
      <c r="E203" s="26" t="s">
        <v>1034</v>
      </c>
      <c r="F203" s="27" t="s">
        <v>861</v>
      </c>
      <c r="G203" s="27" t="s">
        <v>605</v>
      </c>
      <c r="H203" s="27" t="s">
        <v>861</v>
      </c>
      <c r="I203" s="6" t="s">
        <v>604</v>
      </c>
      <c r="J203" s="6" t="s">
        <v>861</v>
      </c>
      <c r="K203" s="6" t="s">
        <v>604</v>
      </c>
      <c r="L203" s="6" t="s">
        <v>861</v>
      </c>
      <c r="M203" s="6" t="s">
        <v>604</v>
      </c>
      <c r="N203" s="6"/>
      <c r="O203" s="27" t="s">
        <v>862</v>
      </c>
      <c r="P203" s="34"/>
      <c r="Q203" s="28" t="s">
        <v>1068</v>
      </c>
      <c r="R203" s="29"/>
    </row>
    <row r="204" spans="1:18" ht="17.25" customHeight="1">
      <c r="A204" s="35" t="s">
        <v>185</v>
      </c>
      <c r="B204" s="23" t="str" cm="1">
        <f t="array" ref="B204">_xlfn.TEXTJOIN(", ", TRUE(), _xlfn._xlws.FILTER(Spkrs_Rcrdngs[Speaker],Spkrs_Rcrdngs[Recording]=Rcrdngs[[#This Row],[Text]],"[no speaker selected in Speakers_in_Recordings]"))</f>
        <v>Harran01, Harran02</v>
      </c>
      <c r="C204" s="24" t="str" cm="1">
        <f t="array" ref="C204">_xlfn.TEXTJOIN(", ", TRUE(), _xlfn._xlws.FILTER(Sbcts_Rcrdngs[Subject],Sbcts_Rcrdngs[Recording]=Rcrdngs[[#This Row],[Text]],"[no subject selected in Subjects_in_Recordings]"))</f>
        <v>Stealing Boy</v>
      </c>
      <c r="D204" s="25">
        <v>40312</v>
      </c>
      <c r="E204" s="26" t="s">
        <v>1069</v>
      </c>
      <c r="F204" s="27" t="s">
        <v>861</v>
      </c>
      <c r="G204" s="27" t="s">
        <v>605</v>
      </c>
      <c r="H204" s="27" t="s">
        <v>861</v>
      </c>
      <c r="I204" s="6" t="s">
        <v>604</v>
      </c>
      <c r="J204" s="6" t="s">
        <v>861</v>
      </c>
      <c r="K204" s="6" t="s">
        <v>604</v>
      </c>
      <c r="L204" s="6" t="s">
        <v>861</v>
      </c>
      <c r="M204" s="6" t="s">
        <v>604</v>
      </c>
      <c r="N204" s="6"/>
      <c r="O204" s="27" t="s">
        <v>862</v>
      </c>
      <c r="P204" s="34"/>
      <c r="Q204" s="28" t="s">
        <v>1070</v>
      </c>
      <c r="R204" s="29"/>
    </row>
    <row r="205" spans="1:18" ht="17.25" customHeight="1">
      <c r="A205" s="35" t="s">
        <v>186</v>
      </c>
      <c r="B205" s="23" t="str" cm="1">
        <f t="array" ref="B205">_xlfn.TEXTJOIN(", ", TRUE(), _xlfn._xlws.FILTER(Spkrs_Rcrdngs[Speaker],Spkrs_Rcrdngs[Recording]=Rcrdngs[[#This Row],[Text]],"[no speaker selected in Speakers_in_Recordings]"))</f>
        <v>Harran01, Harran02</v>
      </c>
      <c r="C205" s="24" t="str" cm="1">
        <f t="array" ref="C205">_xlfn.TEXTJOIN(", ", TRUE(), _xlfn._xlws.FILTER(Sbcts_Rcrdngs[Subject],Sbcts_Rcrdngs[Recording]=Rcrdngs[[#This Row],[Text]],"[no subject selected in Subjects_in_Recordings]"))</f>
        <v>Coffee, Two Barley Grains</v>
      </c>
      <c r="D205" s="25">
        <v>40313</v>
      </c>
      <c r="E205" s="26" t="s">
        <v>1071</v>
      </c>
      <c r="F205" s="27" t="s">
        <v>861</v>
      </c>
      <c r="G205" s="27" t="s">
        <v>605</v>
      </c>
      <c r="H205" s="27" t="s">
        <v>861</v>
      </c>
      <c r="I205" s="6" t="s">
        <v>604</v>
      </c>
      <c r="J205" s="6" t="s">
        <v>861</v>
      </c>
      <c r="K205" s="6" t="s">
        <v>604</v>
      </c>
      <c r="L205" s="6" t="s">
        <v>861</v>
      </c>
      <c r="M205" s="6" t="s">
        <v>604</v>
      </c>
      <c r="N205" s="6"/>
      <c r="O205" s="27" t="s">
        <v>862</v>
      </c>
      <c r="P205" s="34"/>
      <c r="Q205" s="28" t="s">
        <v>1072</v>
      </c>
      <c r="R205" s="29"/>
    </row>
    <row r="206" spans="1:18" ht="17.25" customHeight="1">
      <c r="A206" s="35" t="s">
        <v>187</v>
      </c>
      <c r="B206" s="23" t="str" cm="1">
        <f t="array" ref="B206">_xlfn.TEXTJOIN(", ", TRUE(), _xlfn._xlws.FILTER(Spkrs_Rcrdngs[Speaker],Spkrs_Rcrdngs[Recording]=Rcrdngs[[#This Row],[Text]],"[no speaker selected in Speakers_in_Recordings]"))</f>
        <v>Harran10</v>
      </c>
      <c r="C206" s="24" t="str" cm="1">
        <f t="array" ref="C206">_xlfn.TEXTJOIN(", ", TRUE(), _xlfn._xlws.FILTER(Sbcts_Rcrdngs[Subject],Sbcts_Rcrdngs[Recording]=Rcrdngs[[#This Row],[Text]],"[no subject selected in Subjects_in_Recordings]"))</f>
        <v>Children Singing</v>
      </c>
      <c r="D206" s="25">
        <v>40313</v>
      </c>
      <c r="E206" s="26" t="s">
        <v>1073</v>
      </c>
      <c r="F206" s="27" t="s">
        <v>861</v>
      </c>
      <c r="G206" s="27" t="s">
        <v>605</v>
      </c>
      <c r="H206" s="27"/>
      <c r="I206" s="6"/>
      <c r="J206" s="6"/>
      <c r="K206" s="6"/>
      <c r="L206" s="6"/>
      <c r="M206" s="6"/>
      <c r="N206" s="6"/>
      <c r="O206" s="27" t="s">
        <v>862</v>
      </c>
      <c r="P206" s="34"/>
      <c r="Q206" s="28" t="s">
        <v>1074</v>
      </c>
      <c r="R206" s="29"/>
    </row>
    <row r="207" spans="1:18" ht="17.25" customHeight="1">
      <c r="A207" s="35" t="s">
        <v>188</v>
      </c>
      <c r="B207" s="23" t="str" cm="1">
        <f t="array" ref="B207">_xlfn.TEXTJOIN(", ", TRUE(), _xlfn._xlws.FILTER(Spkrs_Rcrdngs[Speaker],Spkrs_Rcrdngs[Recording]=Rcrdngs[[#This Row],[Text]],"[no speaker selected in Speakers_in_Recordings]"))</f>
        <v>Harran10</v>
      </c>
      <c r="C207" s="24" t="str" cm="1">
        <f t="array" ref="C207">_xlfn.TEXTJOIN(", ", TRUE(), _xlfn._xlws.FILTER(Sbcts_Rcrdngs[Subject],Sbcts_Rcrdngs[Recording]=Rcrdngs[[#This Row],[Text]],"[no subject selected in Subjects_in_Recordings]"))</f>
        <v>Children Singing</v>
      </c>
      <c r="D207" s="25">
        <v>40313</v>
      </c>
      <c r="E207" s="26" t="s">
        <v>1054</v>
      </c>
      <c r="F207" s="27" t="s">
        <v>861</v>
      </c>
      <c r="G207" s="27" t="s">
        <v>605</v>
      </c>
      <c r="H207" s="27"/>
      <c r="I207" s="6"/>
      <c r="J207" s="6"/>
      <c r="K207" s="6"/>
      <c r="L207" s="6"/>
      <c r="M207" s="6"/>
      <c r="N207" s="6"/>
      <c r="O207" s="27" t="s">
        <v>862</v>
      </c>
      <c r="P207" s="34"/>
      <c r="Q207" s="28" t="s">
        <v>1075</v>
      </c>
      <c r="R207" s="29"/>
    </row>
    <row r="208" spans="1:18" ht="17.25" customHeight="1">
      <c r="A208" s="35" t="s">
        <v>189</v>
      </c>
      <c r="B208" s="23" t="str" cm="1">
        <f t="array" ref="B208">_xlfn.TEXTJOIN(", ", TRUE(), _xlfn._xlws.FILTER(Spkrs_Rcrdngs[Speaker],Spkrs_Rcrdngs[Recording]=Rcrdngs[[#This Row],[Text]],"[no speaker selected in Speakers_in_Recordings]"))</f>
        <v>Harran10</v>
      </c>
      <c r="C208" s="24" t="str" cm="1">
        <f t="array" ref="C208">_xlfn.TEXTJOIN(", ", TRUE(), _xlfn._xlws.FILTER(Sbcts_Rcrdngs[Subject],Sbcts_Rcrdngs[Recording]=Rcrdngs[[#This Row],[Text]],"[no subject selected in Subjects_in_Recordings]"))</f>
        <v>Children Singing</v>
      </c>
      <c r="D208" s="25">
        <v>40313</v>
      </c>
      <c r="E208" s="26" t="s">
        <v>1076</v>
      </c>
      <c r="F208" s="27" t="s">
        <v>861</v>
      </c>
      <c r="G208" s="27" t="s">
        <v>605</v>
      </c>
      <c r="H208" s="27"/>
      <c r="I208" s="6"/>
      <c r="J208" s="6"/>
      <c r="K208" s="6"/>
      <c r="L208" s="6"/>
      <c r="M208" s="6"/>
      <c r="N208" s="6"/>
      <c r="O208" s="27" t="s">
        <v>862</v>
      </c>
      <c r="P208" s="34"/>
      <c r="Q208" s="28" t="s">
        <v>1077</v>
      </c>
      <c r="R208" s="29"/>
    </row>
    <row r="209" spans="1:18" ht="17.25" customHeight="1">
      <c r="A209" s="35" t="s">
        <v>190</v>
      </c>
      <c r="B209" s="23" t="str" cm="1">
        <f t="array" ref="B209">_xlfn.TEXTJOIN(", ", TRUE(), _xlfn._xlws.FILTER(Spkrs_Rcrdngs[Speaker],Spkrs_Rcrdngs[Recording]=Rcrdngs[[#This Row],[Text]],"[no speaker selected in Speakers_in_Recordings]"))</f>
        <v>Harran10</v>
      </c>
      <c r="C209" s="24" t="str" cm="1">
        <f t="array" ref="C209">_xlfn.TEXTJOIN(", ", TRUE(), _xlfn._xlws.FILTER(Sbcts_Rcrdngs[Subject],Sbcts_Rcrdngs[Recording]=Rcrdngs[[#This Row],[Text]],"[no subject selected in Subjects_in_Recordings]"))</f>
        <v>Children Singing</v>
      </c>
      <c r="D209" s="25">
        <v>40313</v>
      </c>
      <c r="E209" s="26" t="s">
        <v>1078</v>
      </c>
      <c r="F209" s="27" t="s">
        <v>861</v>
      </c>
      <c r="G209" s="27" t="s">
        <v>605</v>
      </c>
      <c r="H209" s="27"/>
      <c r="I209" s="6"/>
      <c r="J209" s="6"/>
      <c r="K209" s="6"/>
      <c r="L209" s="6"/>
      <c r="M209" s="6"/>
      <c r="N209" s="6"/>
      <c r="O209" s="27" t="s">
        <v>862</v>
      </c>
      <c r="P209" s="34"/>
      <c r="Q209" s="28" t="s">
        <v>1079</v>
      </c>
      <c r="R209" s="29"/>
    </row>
    <row r="210" spans="1:18" ht="17.25" customHeight="1">
      <c r="A210" s="35" t="s">
        <v>191</v>
      </c>
      <c r="B210" s="23" t="str" cm="1">
        <f t="array" ref="B210">_xlfn.TEXTJOIN(", ", TRUE(), _xlfn._xlws.FILTER(Spkrs_Rcrdngs[Speaker],Spkrs_Rcrdngs[Recording]=Rcrdngs[[#This Row],[Text]],"[no speaker selected in Speakers_in_Recordings]"))</f>
        <v>Harran10</v>
      </c>
      <c r="C210" s="24" t="str" cm="1">
        <f t="array" ref="C210">_xlfn.TEXTJOIN(", ", TRUE(), _xlfn._xlws.FILTER(Sbcts_Rcrdngs[Subject],Sbcts_Rcrdngs[Recording]=Rcrdngs[[#This Row],[Text]],"[no subject selected in Subjects_in_Recordings]"))</f>
        <v>Children Singing</v>
      </c>
      <c r="D210" s="25">
        <v>40313</v>
      </c>
      <c r="E210" s="26" t="s">
        <v>1080</v>
      </c>
      <c r="F210" s="27" t="s">
        <v>861</v>
      </c>
      <c r="G210" s="27" t="s">
        <v>605</v>
      </c>
      <c r="H210" s="27"/>
      <c r="I210" s="6"/>
      <c r="J210" s="6"/>
      <c r="K210" s="6"/>
      <c r="L210" s="6"/>
      <c r="M210" s="6"/>
      <c r="N210" s="6"/>
      <c r="O210" s="27" t="s">
        <v>862</v>
      </c>
      <c r="P210" s="34"/>
      <c r="Q210" s="28" t="s">
        <v>1081</v>
      </c>
      <c r="R210" s="29"/>
    </row>
    <row r="211" spans="1:18" ht="17.25" customHeight="1">
      <c r="A211" s="35" t="s">
        <v>192</v>
      </c>
      <c r="B211" s="23" t="str" cm="1">
        <f t="array" ref="B211">_xlfn.TEXTJOIN(", ", TRUE(), _xlfn._xlws.FILTER(Spkrs_Rcrdngs[Speaker],Spkrs_Rcrdngs[Recording]=Rcrdngs[[#This Row],[Text]],"[no speaker selected in Speakers_in_Recordings]"))</f>
        <v>Harran10</v>
      </c>
      <c r="C211" s="24" t="str" cm="1">
        <f t="array" ref="C211">_xlfn.TEXTJOIN(", ", TRUE(), _xlfn._xlws.FILTER(Sbcts_Rcrdngs[Subject],Sbcts_Rcrdngs[Recording]=Rcrdngs[[#This Row],[Text]],"[no subject selected in Subjects_in_Recordings]"))</f>
        <v>Children Singing</v>
      </c>
      <c r="D211" s="25">
        <v>40313</v>
      </c>
      <c r="E211" s="26" t="s">
        <v>1082</v>
      </c>
      <c r="F211" s="27" t="s">
        <v>861</v>
      </c>
      <c r="G211" s="27" t="s">
        <v>605</v>
      </c>
      <c r="H211" s="27"/>
      <c r="I211" s="6"/>
      <c r="J211" s="6"/>
      <c r="K211" s="6"/>
      <c r="L211" s="6"/>
      <c r="M211" s="6"/>
      <c r="N211" s="6"/>
      <c r="O211" s="27" t="s">
        <v>862</v>
      </c>
      <c r="P211" s="34"/>
      <c r="Q211" s="28" t="s">
        <v>1083</v>
      </c>
      <c r="R211" s="29"/>
    </row>
    <row r="212" spans="1:18" ht="17.25" customHeight="1">
      <c r="A212" s="35" t="s">
        <v>193</v>
      </c>
      <c r="B212" s="23" t="str" cm="1">
        <f t="array" ref="B212">_xlfn.TEXTJOIN(", ", TRUE(), _xlfn._xlws.FILTER(Spkrs_Rcrdngs[Speaker],Spkrs_Rcrdngs[Recording]=Rcrdngs[[#This Row],[Text]],"[no speaker selected in Speakers_in_Recordings]"))</f>
        <v>Harran01, Ziyara01</v>
      </c>
      <c r="C212" s="24" t="str" cm="1">
        <f t="array" ref="C212">_xlfn.TEXTJOIN(", ", TRUE(), _xlfn._xlws.FILTER(Sbcts_Rcrdngs[Subject],Sbcts_Rcrdngs[Recording]=Rcrdngs[[#This Row],[Text]],"[no subject selected in Subjects_in_Recordings]"))</f>
        <v>Sheikh Musa</v>
      </c>
      <c r="D212" s="25">
        <v>41548</v>
      </c>
      <c r="E212" s="26" t="s">
        <v>1084</v>
      </c>
      <c r="F212" s="27" t="s">
        <v>861</v>
      </c>
      <c r="G212" s="27" t="s">
        <v>605</v>
      </c>
      <c r="H212" s="27" t="s">
        <v>861</v>
      </c>
      <c r="I212" s="6" t="s">
        <v>604</v>
      </c>
      <c r="J212" s="6" t="s">
        <v>861</v>
      </c>
      <c r="K212" s="6" t="s">
        <v>604</v>
      </c>
      <c r="L212" s="6" t="s">
        <v>861</v>
      </c>
      <c r="M212" s="6" t="s">
        <v>604</v>
      </c>
      <c r="N212" s="6"/>
      <c r="O212" s="27" t="s">
        <v>862</v>
      </c>
      <c r="P212" s="34"/>
      <c r="Q212" s="28" t="s">
        <v>1085</v>
      </c>
      <c r="R212" s="29"/>
    </row>
    <row r="213" spans="1:18" ht="17.25" customHeight="1">
      <c r="A213" s="35" t="s">
        <v>194</v>
      </c>
      <c r="B213" s="23" t="str" cm="1">
        <f t="array" ref="B213">_xlfn.TEXTJOIN(", ", TRUE(), _xlfn._xlws.FILTER(Spkrs_Rcrdngs[Speaker],Spkrs_Rcrdngs[Recording]=Rcrdngs[[#This Row],[Text]],"[no speaker selected in Speakers_in_Recordings]"))</f>
        <v>Harran01, Harran02</v>
      </c>
      <c r="C213" s="24" t="str" cm="1">
        <f t="array" ref="C213">_xlfn.TEXTJOIN(", ", TRUE(), _xlfn._xlws.FILTER(Sbcts_Rcrdngs[Subject],Sbcts_Rcrdngs[Recording]=Rcrdngs[[#This Row],[Text]],"[no subject selected in Subjects_in_Recordings]"))</f>
        <v>Hayat al-Harrani</v>
      </c>
      <c r="D213" s="25">
        <v>41548</v>
      </c>
      <c r="E213" s="26" t="s">
        <v>1086</v>
      </c>
      <c r="F213" s="27" t="s">
        <v>861</v>
      </c>
      <c r="G213" s="27" t="s">
        <v>605</v>
      </c>
      <c r="H213" s="27"/>
      <c r="I213" s="6"/>
      <c r="J213" s="6"/>
      <c r="K213" s="6"/>
      <c r="L213" s="6"/>
      <c r="M213" s="6"/>
      <c r="N213" s="6"/>
      <c r="O213" s="27" t="s">
        <v>862</v>
      </c>
      <c r="P213" s="34"/>
      <c r="Q213" s="28" t="s">
        <v>1087</v>
      </c>
      <c r="R213" s="29"/>
    </row>
    <row r="214" spans="1:18" ht="17.25" customHeight="1">
      <c r="A214" s="35" t="s">
        <v>195</v>
      </c>
      <c r="B214" s="23" t="str" cm="1">
        <f t="array" ref="B214">_xlfn.TEXTJOIN(", ", TRUE(), _xlfn._xlws.FILTER(Spkrs_Rcrdngs[Speaker],Spkrs_Rcrdngs[Recording]=Rcrdngs[[#This Row],[Text]],"[no speaker selected in Speakers_in_Recordings]"))</f>
        <v>Harran01, Harran02, Harran03</v>
      </c>
      <c r="C214" s="24" t="str" cm="1">
        <f t="array" ref="C214">_xlfn.TEXTJOIN(", ", TRUE(), _xlfn._xlws.FILTER(Sbcts_Rcrdngs[Subject],Sbcts_Rcrdngs[Recording]=Rcrdngs[[#This Row],[Text]],"[no subject selected in Subjects_in_Recordings]"))</f>
        <v>Burglars from Syria</v>
      </c>
      <c r="D214" s="25">
        <v>41548</v>
      </c>
      <c r="E214" s="26" t="s">
        <v>1088</v>
      </c>
      <c r="F214" s="27" t="s">
        <v>861</v>
      </c>
      <c r="G214" s="27" t="s">
        <v>605</v>
      </c>
      <c r="H214" s="27" t="s">
        <v>861</v>
      </c>
      <c r="I214" s="6" t="s">
        <v>604</v>
      </c>
      <c r="J214" s="6" t="s">
        <v>861</v>
      </c>
      <c r="K214" s="6" t="s">
        <v>604</v>
      </c>
      <c r="L214" s="6" t="s">
        <v>861</v>
      </c>
      <c r="M214" s="6" t="s">
        <v>604</v>
      </c>
      <c r="N214" s="6"/>
      <c r="O214" s="27" t="s">
        <v>862</v>
      </c>
      <c r="P214" s="34"/>
      <c r="Q214" s="28" t="s">
        <v>1089</v>
      </c>
      <c r="R214" s="29"/>
    </row>
    <row r="215" spans="1:18" ht="17.25" customHeight="1">
      <c r="A215" s="35" t="s">
        <v>196</v>
      </c>
      <c r="B215" s="23" t="str" cm="1">
        <f t="array" ref="B215">_xlfn.TEXTJOIN(", ", TRUE(), _xlfn._xlws.FILTER(Spkrs_Rcrdngs[Speaker],Spkrs_Rcrdngs[Recording]=Rcrdngs[[#This Row],[Text]],"[no speaker selected in Speakers_in_Recordings]"))</f>
        <v>Harran01, Harran03, Harran02</v>
      </c>
      <c r="C215" s="24" t="str" cm="1">
        <f t="array" ref="C215">_xlfn.TEXTJOIN(", ", TRUE(), _xlfn._xlws.FILTER(Sbcts_Rcrdngs[Subject],Sbcts_Rcrdngs[Recording]=Rcrdngs[[#This Row],[Text]],"[no subject selected in Subjects_in_Recordings]"))</f>
        <v>Cigkofte</v>
      </c>
      <c r="D215" s="25">
        <v>41548</v>
      </c>
      <c r="E215" s="26" t="s">
        <v>1090</v>
      </c>
      <c r="F215" s="27" t="s">
        <v>861</v>
      </c>
      <c r="G215" s="27" t="s">
        <v>605</v>
      </c>
      <c r="H215" s="27" t="s">
        <v>861</v>
      </c>
      <c r="I215" s="6" t="s">
        <v>604</v>
      </c>
      <c r="J215" s="6" t="s">
        <v>861</v>
      </c>
      <c r="K215" s="6" t="s">
        <v>604</v>
      </c>
      <c r="L215" s="6" t="s">
        <v>861</v>
      </c>
      <c r="M215" s="6" t="s">
        <v>604</v>
      </c>
      <c r="N215" s="6"/>
      <c r="O215" s="27" t="s">
        <v>862</v>
      </c>
      <c r="P215" s="34"/>
      <c r="Q215" s="28" t="s">
        <v>1091</v>
      </c>
      <c r="R215" s="29"/>
    </row>
    <row r="216" spans="1:18" ht="17.25" customHeight="1">
      <c r="A216" s="35" t="s">
        <v>197</v>
      </c>
      <c r="B216" s="23" t="str" cm="1">
        <f t="array" ref="B216">_xlfn.TEXTJOIN(", ", TRUE(), _xlfn._xlws.FILTER(Spkrs_Rcrdngs[Speaker],Spkrs_Rcrdngs[Recording]=Rcrdngs[[#This Row],[Text]],"[no speaker selected in Speakers_in_Recordings]"))</f>
        <v>Harran01, Harran03, Harran02</v>
      </c>
      <c r="C216" s="24" t="str" cm="1">
        <f t="array" ref="C216">_xlfn.TEXTJOIN(", ", TRUE(), _xlfn._xlws.FILTER(Sbcts_Rcrdngs[Subject],Sbcts_Rcrdngs[Recording]=Rcrdngs[[#This Row],[Text]],"[no subject selected in Subjects_in_Recordings]"))</f>
        <v>Kazan Kebab</v>
      </c>
      <c r="D216" s="25">
        <v>41548</v>
      </c>
      <c r="E216" s="26" t="s">
        <v>1034</v>
      </c>
      <c r="F216" s="27" t="s">
        <v>861</v>
      </c>
      <c r="G216" s="27" t="s">
        <v>605</v>
      </c>
      <c r="H216" s="27" t="s">
        <v>861</v>
      </c>
      <c r="I216" s="6" t="s">
        <v>604</v>
      </c>
      <c r="J216" s="6" t="s">
        <v>861</v>
      </c>
      <c r="K216" s="6" t="s">
        <v>604</v>
      </c>
      <c r="L216" s="6" t="s">
        <v>861</v>
      </c>
      <c r="M216" s="6" t="s">
        <v>604</v>
      </c>
      <c r="N216" s="6"/>
      <c r="O216" s="27" t="s">
        <v>862</v>
      </c>
      <c r="P216" s="34"/>
      <c r="Q216" s="28" t="s">
        <v>1092</v>
      </c>
      <c r="R216" s="29"/>
    </row>
    <row r="217" spans="1:18" ht="17.25" customHeight="1">
      <c r="A217" s="35" t="s">
        <v>198</v>
      </c>
      <c r="B217" s="23" t="str" cm="1">
        <f t="array" ref="B217">_xlfn.TEXTJOIN(", ", TRUE(), _xlfn._xlws.FILTER(Spkrs_Rcrdngs[Speaker],Spkrs_Rcrdngs[Recording]=Rcrdngs[[#This Row],[Text]],"[no speaker selected in Speakers_in_Recordings]"))</f>
        <v>Harran01, Harran03, Harran02</v>
      </c>
      <c r="C217" s="24" t="str" cm="1">
        <f t="array" ref="C217">_xlfn.TEXTJOIN(", ", TRUE(), _xlfn._xlws.FILTER(Sbcts_Rcrdngs[Subject],Sbcts_Rcrdngs[Recording]=Rcrdngs[[#This Row],[Text]],"[no subject selected in Subjects_in_Recordings]"))</f>
        <v>Kazan Kebab</v>
      </c>
      <c r="D217" s="25">
        <v>41548</v>
      </c>
      <c r="E217" s="26" t="s">
        <v>1093</v>
      </c>
      <c r="F217" s="27" t="s">
        <v>861</v>
      </c>
      <c r="G217" s="27" t="s">
        <v>605</v>
      </c>
      <c r="H217" s="27" t="s">
        <v>861</v>
      </c>
      <c r="I217" s="6" t="s">
        <v>604</v>
      </c>
      <c r="J217" s="6" t="s">
        <v>861</v>
      </c>
      <c r="K217" s="6" t="s">
        <v>604</v>
      </c>
      <c r="L217" s="6" t="s">
        <v>861</v>
      </c>
      <c r="M217" s="6" t="s">
        <v>604</v>
      </c>
      <c r="N217" s="6"/>
      <c r="O217" s="27" t="s">
        <v>862</v>
      </c>
      <c r="P217" s="34"/>
      <c r="Q217" s="28" t="s">
        <v>1094</v>
      </c>
      <c r="R217" s="29"/>
    </row>
    <row r="218" spans="1:18" ht="17.25" customHeight="1">
      <c r="A218" s="35" t="s">
        <v>199</v>
      </c>
      <c r="B218" s="23" t="str" cm="1">
        <f t="array" ref="B218">_xlfn.TEXTJOIN(", ", TRUE(), _xlfn._xlws.FILTER(Spkrs_Rcrdngs[Speaker],Spkrs_Rcrdngs[Recording]=Rcrdngs[[#This Row],[Text]],"[no speaker selected in Speakers_in_Recordings]"))</f>
        <v>Harran01, Harran03</v>
      </c>
      <c r="C218" s="24" t="str" cm="1">
        <f t="array" ref="C218">_xlfn.TEXTJOIN(", ", TRUE(), _xlfn._xlws.FILTER(Sbcts_Rcrdngs[Subject],Sbcts_Rcrdngs[Recording]=Rcrdngs[[#This Row],[Text]],"[no subject selected in Subjects_in_Recordings]"))</f>
        <v>Lahmacun</v>
      </c>
      <c r="D218" s="25">
        <v>41548</v>
      </c>
      <c r="E218" s="26" t="s">
        <v>1095</v>
      </c>
      <c r="F218" s="27" t="s">
        <v>861</v>
      </c>
      <c r="G218" s="27" t="s">
        <v>605</v>
      </c>
      <c r="H218" s="27" t="s">
        <v>861</v>
      </c>
      <c r="I218" s="6" t="s">
        <v>604</v>
      </c>
      <c r="J218" s="6" t="s">
        <v>861</v>
      </c>
      <c r="K218" s="6" t="s">
        <v>604</v>
      </c>
      <c r="L218" s="6" t="s">
        <v>861</v>
      </c>
      <c r="M218" s="6" t="s">
        <v>604</v>
      </c>
      <c r="N218" s="6"/>
      <c r="O218" s="27" t="s">
        <v>862</v>
      </c>
      <c r="P218" s="34"/>
      <c r="Q218" s="28" t="s">
        <v>1096</v>
      </c>
      <c r="R218" s="29"/>
    </row>
    <row r="219" spans="1:18" ht="17.25" customHeight="1">
      <c r="A219" s="35" t="s">
        <v>200</v>
      </c>
      <c r="B219" s="23" t="str" cm="1">
        <f t="array" ref="B219">_xlfn.TEXTJOIN(", ", TRUE(), _xlfn._xlws.FILTER(Spkrs_Rcrdngs[Speaker],Spkrs_Rcrdngs[Recording]=Rcrdngs[[#This Row],[Text]],"[no speaker selected in Speakers_in_Recordings]"))</f>
        <v>Harran01, Harran03, Harran02</v>
      </c>
      <c r="C219" s="24" t="str" cm="1">
        <f t="array" ref="C219">_xlfn.TEXTJOIN(", ", TRUE(), _xlfn._xlws.FILTER(Sbcts_Rcrdngs[Subject],Sbcts_Rcrdngs[Recording]=Rcrdngs[[#This Row],[Text]],"[no subject selected in Subjects_in_Recordings]"))</f>
        <v>Biyat</v>
      </c>
      <c r="D219" s="25">
        <v>41548</v>
      </c>
      <c r="E219" s="26" t="s">
        <v>1097</v>
      </c>
      <c r="F219" s="27" t="s">
        <v>861</v>
      </c>
      <c r="G219" s="27" t="s">
        <v>605</v>
      </c>
      <c r="H219" s="27" t="s">
        <v>861</v>
      </c>
      <c r="I219" s="6" t="s">
        <v>604</v>
      </c>
      <c r="J219" s="6" t="s">
        <v>861</v>
      </c>
      <c r="K219" s="6" t="s">
        <v>604</v>
      </c>
      <c r="L219" s="6" t="s">
        <v>861</v>
      </c>
      <c r="M219" s="6" t="s">
        <v>604</v>
      </c>
      <c r="N219" s="6"/>
      <c r="O219" s="27" t="s">
        <v>862</v>
      </c>
      <c r="P219" s="34"/>
      <c r="Q219" s="28" t="s">
        <v>1098</v>
      </c>
      <c r="R219" s="29"/>
    </row>
    <row r="220" spans="1:18" ht="17.25" customHeight="1">
      <c r="A220" s="35" t="s">
        <v>201</v>
      </c>
      <c r="B220" s="23" t="str" cm="1">
        <f t="array" ref="B220">_xlfn.TEXTJOIN(", ", TRUE(), _xlfn._xlws.FILTER(Spkrs_Rcrdngs[Speaker],Spkrs_Rcrdngs[Recording]=Rcrdngs[[#This Row],[Text]],"[no speaker selected in Speakers_in_Recordings]"))</f>
        <v>Harran01, Harran03</v>
      </c>
      <c r="C220" s="24" t="str" cm="1">
        <f t="array" ref="C220">_xlfn.TEXTJOIN(", ", TRUE(), _xlfn._xlws.FILTER(Sbcts_Rcrdngs[Subject],Sbcts_Rcrdngs[Recording]=Rcrdngs[[#This Row],[Text]],"[no subject selected in Subjects_in_Recordings]"))</f>
        <v>Istishara</v>
      </c>
      <c r="D220" s="25">
        <v>41548</v>
      </c>
      <c r="E220" s="26" t="s">
        <v>1099</v>
      </c>
      <c r="F220" s="27" t="s">
        <v>861</v>
      </c>
      <c r="G220" s="27" t="s">
        <v>605</v>
      </c>
      <c r="H220" s="27" t="s">
        <v>861</v>
      </c>
      <c r="I220" s="6" t="s">
        <v>604</v>
      </c>
      <c r="J220" s="6" t="s">
        <v>861</v>
      </c>
      <c r="K220" s="6" t="s">
        <v>604</v>
      </c>
      <c r="L220" s="6" t="s">
        <v>861</v>
      </c>
      <c r="M220" s="6" t="s">
        <v>604</v>
      </c>
      <c r="N220" s="6"/>
      <c r="O220" s="27" t="s">
        <v>862</v>
      </c>
      <c r="P220" s="34"/>
      <c r="Q220" s="28" t="s">
        <v>1100</v>
      </c>
      <c r="R220" s="29"/>
    </row>
    <row r="221" spans="1:18" ht="17.25" customHeight="1">
      <c r="A221" s="35" t="s">
        <v>202</v>
      </c>
      <c r="B221" s="23" t="str" cm="1">
        <f t="array" ref="B221">_xlfn.TEXTJOIN(", ", TRUE(), _xlfn._xlws.FILTER(Spkrs_Rcrdngs[Speaker],Spkrs_Rcrdngs[Recording]=Rcrdngs[[#This Row],[Text]],"[no speaker selected in Speakers_in_Recordings]"))</f>
        <v>Harran01, Harran03, Harran02</v>
      </c>
      <c r="C221" s="24" t="str" cm="1">
        <f t="array" ref="C221">_xlfn.TEXTJOIN(", ", TRUE(), _xlfn._xlws.FILTER(Sbcts_Rcrdngs[Subject],Sbcts_Rcrdngs[Recording]=Rcrdngs[[#This Row],[Text]],"[no subject selected in Subjects_in_Recordings]"))</f>
        <v>Drying Peppers, Making salcha</v>
      </c>
      <c r="D221" s="25">
        <v>41548</v>
      </c>
      <c r="E221" s="26" t="s">
        <v>1101</v>
      </c>
      <c r="F221" s="27" t="s">
        <v>861</v>
      </c>
      <c r="G221" s="27" t="s">
        <v>605</v>
      </c>
      <c r="H221" s="27" t="s">
        <v>861</v>
      </c>
      <c r="I221" s="6" t="s">
        <v>604</v>
      </c>
      <c r="J221" s="6" t="s">
        <v>861</v>
      </c>
      <c r="K221" s="6" t="s">
        <v>604</v>
      </c>
      <c r="L221" s="6" t="s">
        <v>861</v>
      </c>
      <c r="M221" s="6" t="s">
        <v>604</v>
      </c>
      <c r="N221" s="6"/>
      <c r="O221" s="27" t="s">
        <v>862</v>
      </c>
      <c r="P221" s="34"/>
      <c r="Q221" s="28" t="s">
        <v>1102</v>
      </c>
      <c r="R221" s="29"/>
    </row>
    <row r="222" spans="1:18" ht="17.25" customHeight="1">
      <c r="A222" s="35" t="s">
        <v>203</v>
      </c>
      <c r="B222" s="23" t="str" cm="1">
        <f t="array" ref="B222">_xlfn.TEXTJOIN(", ", TRUE(), _xlfn._xlws.FILTER(Spkrs_Rcrdngs[Speaker],Spkrs_Rcrdngs[Recording]=Rcrdngs[[#This Row],[Text]],"[no speaker selected in Speakers_in_Recordings]"))</f>
        <v>Harran01, Harran03</v>
      </c>
      <c r="C222" s="24" t="str" cm="1">
        <f t="array" ref="C222">_xlfn.TEXTJOIN(", ", TRUE(), _xlfn._xlws.FILTER(Sbcts_Rcrdngs[Subject],Sbcts_Rcrdngs[Recording]=Rcrdngs[[#This Row],[Text]],"[no subject selected in Subjects_in_Recordings]"))</f>
        <v>Burgul</v>
      </c>
      <c r="D222" s="25">
        <v>41548</v>
      </c>
      <c r="E222" s="26" t="s">
        <v>905</v>
      </c>
      <c r="F222" s="27" t="s">
        <v>861</v>
      </c>
      <c r="G222" s="27" t="s">
        <v>605</v>
      </c>
      <c r="H222" s="27" t="s">
        <v>861</v>
      </c>
      <c r="I222" s="6" t="s">
        <v>604</v>
      </c>
      <c r="J222" s="6" t="s">
        <v>861</v>
      </c>
      <c r="K222" s="6"/>
      <c r="L222" s="6"/>
      <c r="M222" s="6"/>
      <c r="N222" s="6"/>
      <c r="O222" s="27" t="s">
        <v>862</v>
      </c>
      <c r="P222" s="34"/>
      <c r="Q222" s="28" t="s">
        <v>1103</v>
      </c>
      <c r="R222" s="29"/>
    </row>
    <row r="223" spans="1:18" ht="17.25" customHeight="1">
      <c r="A223" s="35" t="s">
        <v>204</v>
      </c>
      <c r="B223" s="23" t="str" cm="1">
        <f t="array" ref="B223">_xlfn.TEXTJOIN(", ", TRUE(), _xlfn._xlws.FILTER(Spkrs_Rcrdngs[Speaker],Spkrs_Rcrdngs[Recording]=Rcrdngs[[#This Row],[Text]],"[no speaker selected in Speakers_in_Recordings]"))</f>
        <v>Harran03</v>
      </c>
      <c r="C223" s="24" t="str" cm="1">
        <f t="array" ref="C223">_xlfn.TEXTJOIN(", ", TRUE(), _xlfn._xlws.FILTER(Sbcts_Rcrdngs[Subject],Sbcts_Rcrdngs[Recording]=Rcrdngs[[#This Row],[Text]],"[no subject selected in Subjects_in_Recordings]"))</f>
        <v>Malfuf</v>
      </c>
      <c r="D223" s="25">
        <v>41548</v>
      </c>
      <c r="E223" s="26" t="s">
        <v>1104</v>
      </c>
      <c r="F223" s="27" t="s">
        <v>861</v>
      </c>
      <c r="G223" s="27" t="s">
        <v>605</v>
      </c>
      <c r="H223" s="27" t="s">
        <v>861</v>
      </c>
      <c r="I223" s="6" t="s">
        <v>604</v>
      </c>
      <c r="J223" s="6" t="s">
        <v>861</v>
      </c>
      <c r="K223" s="6" t="s">
        <v>604</v>
      </c>
      <c r="L223" s="6" t="s">
        <v>861</v>
      </c>
      <c r="M223" s="6" t="s">
        <v>604</v>
      </c>
      <c r="N223" s="6"/>
      <c r="O223" s="27" t="s">
        <v>862</v>
      </c>
      <c r="P223" s="34"/>
      <c r="Q223" s="28" t="s">
        <v>1105</v>
      </c>
      <c r="R223" s="29"/>
    </row>
    <row r="224" spans="1:18" ht="17.25" customHeight="1">
      <c r="A224" s="35" t="s">
        <v>205</v>
      </c>
      <c r="B224" s="23" t="str" cm="1">
        <f t="array" ref="B224">_xlfn.TEXTJOIN(", ", TRUE(), _xlfn._xlws.FILTER(Spkrs_Rcrdngs[Speaker],Spkrs_Rcrdngs[Recording]=Rcrdngs[[#This Row],[Text]],"[no speaker selected in Speakers_in_Recordings]"))</f>
        <v>Harran03</v>
      </c>
      <c r="C224" s="24" t="str" cm="1">
        <f t="array" ref="C224">_xlfn.TEXTJOIN(", ", TRUE(), _xlfn._xlws.FILTER(Sbcts_Rcrdngs[Subject],Sbcts_Rcrdngs[Recording]=Rcrdngs[[#This Row],[Text]],"[no subject selected in Subjects_in_Recordings]"))</f>
        <v>Prophet Ayyub</v>
      </c>
      <c r="D224" s="25">
        <v>41548</v>
      </c>
      <c r="E224" s="26" t="s">
        <v>1106</v>
      </c>
      <c r="F224" s="27" t="s">
        <v>861</v>
      </c>
      <c r="G224" s="27" t="s">
        <v>605</v>
      </c>
      <c r="H224" s="27" t="s">
        <v>861</v>
      </c>
      <c r="I224" s="6" t="s">
        <v>604</v>
      </c>
      <c r="J224" s="6" t="s">
        <v>861</v>
      </c>
      <c r="K224" s="6" t="s">
        <v>604</v>
      </c>
      <c r="L224" s="6" t="s">
        <v>861</v>
      </c>
      <c r="M224" s="6" t="s">
        <v>604</v>
      </c>
      <c r="N224" s="6"/>
      <c r="O224" s="27" t="s">
        <v>862</v>
      </c>
      <c r="P224" s="34"/>
      <c r="Q224" s="28" t="s">
        <v>1107</v>
      </c>
      <c r="R224" s="29"/>
    </row>
    <row r="225" spans="1:18" ht="17.25" customHeight="1">
      <c r="A225" s="35" t="s">
        <v>206</v>
      </c>
      <c r="B225" s="23" t="str" cm="1">
        <f t="array" ref="B225">_xlfn.TEXTJOIN(", ", TRUE(), _xlfn._xlws.FILTER(Spkrs_Rcrdngs[Speaker],Spkrs_Rcrdngs[Recording]=Rcrdngs[[#This Row],[Text]],"[no speaker selected in Speakers_in_Recordings]"))</f>
        <v>Harran03</v>
      </c>
      <c r="C225" s="24" t="str" cm="1">
        <f t="array" ref="C225">_xlfn.TEXTJOIN(", ", TRUE(), _xlfn._xlws.FILTER(Sbcts_Rcrdngs[Subject],Sbcts_Rcrdngs[Recording]=Rcrdngs[[#This Row],[Text]],"[no subject selected in Subjects_in_Recordings]"))</f>
        <v>Wolf</v>
      </c>
      <c r="D225" s="25">
        <v>41548</v>
      </c>
      <c r="E225" s="26" t="s">
        <v>1108</v>
      </c>
      <c r="F225" s="27" t="s">
        <v>861</v>
      </c>
      <c r="G225" s="27" t="s">
        <v>605</v>
      </c>
      <c r="H225" s="27" t="s">
        <v>861</v>
      </c>
      <c r="I225" s="6" t="s">
        <v>604</v>
      </c>
      <c r="J225" s="6" t="s">
        <v>861</v>
      </c>
      <c r="K225" s="6" t="s">
        <v>604</v>
      </c>
      <c r="L225" s="6" t="s">
        <v>861</v>
      </c>
      <c r="M225" s="6" t="s">
        <v>604</v>
      </c>
      <c r="N225" s="6"/>
      <c r="O225" s="27" t="s">
        <v>862</v>
      </c>
      <c r="P225" s="34"/>
      <c r="Q225" s="28" t="s">
        <v>1109</v>
      </c>
      <c r="R225" s="29"/>
    </row>
    <row r="226" spans="1:18" ht="17.25" customHeight="1">
      <c r="A226" s="35" t="s">
        <v>207</v>
      </c>
      <c r="B226" s="23" t="str" cm="1">
        <f t="array" ref="B226">_xlfn.TEXTJOIN(", ", TRUE(), _xlfn._xlws.FILTER(Spkrs_Rcrdngs[Speaker],Spkrs_Rcrdngs[Recording]=Rcrdngs[[#This Row],[Text]],"[no speaker selected in Speakers_in_Recordings]"))</f>
        <v>Harran03</v>
      </c>
      <c r="C226" s="24" t="str" cm="1">
        <f t="array" ref="C226">_xlfn.TEXTJOIN(", ", TRUE(), _xlfn._xlws.FILTER(Sbcts_Rcrdngs[Subject],Sbcts_Rcrdngs[Recording]=Rcrdngs[[#This Row],[Text]],"[no subject selected in Subjects_in_Recordings]"))</f>
        <v>Story of a Woman</v>
      </c>
      <c r="D226" s="25">
        <v>41548</v>
      </c>
      <c r="E226" s="26" t="s">
        <v>1110</v>
      </c>
      <c r="F226" s="27" t="s">
        <v>861</v>
      </c>
      <c r="G226" s="27" t="s">
        <v>605</v>
      </c>
      <c r="H226" s="27"/>
      <c r="I226" s="6"/>
      <c r="J226" s="6"/>
      <c r="K226" s="6"/>
      <c r="L226" s="6"/>
      <c r="M226" s="6"/>
      <c r="N226" s="6"/>
      <c r="O226" s="27" t="s">
        <v>862</v>
      </c>
      <c r="P226" s="34"/>
      <c r="Q226" s="28" t="s">
        <v>1111</v>
      </c>
      <c r="R226" s="29"/>
    </row>
    <row r="227" spans="1:18" ht="17.25" customHeight="1">
      <c r="A227" s="35" t="s">
        <v>208</v>
      </c>
      <c r="B227" s="23" t="str" cm="1">
        <f t="array" ref="B227">_xlfn.TEXTJOIN(", ", TRUE(), _xlfn._xlws.FILTER(Spkrs_Rcrdngs[Speaker],Spkrs_Rcrdngs[Recording]=Rcrdngs[[#This Row],[Text]],"[no speaker selected in Speakers_in_Recordings]"))</f>
        <v>Harran01, Harran02</v>
      </c>
      <c r="C227" s="24" t="str" cm="1">
        <f t="array" ref="C227">_xlfn.TEXTJOIN(", ", TRUE(), _xlfn._xlws.FILTER(Sbcts_Rcrdngs[Subject],Sbcts_Rcrdngs[Recording]=Rcrdngs[[#This Row],[Text]],"[no subject selected in Subjects_in_Recordings]"))</f>
        <v>Numbers</v>
      </c>
      <c r="D227" s="25">
        <v>41548</v>
      </c>
      <c r="E227" s="26" t="s">
        <v>1112</v>
      </c>
      <c r="F227" s="27" t="s">
        <v>861</v>
      </c>
      <c r="G227" s="27" t="s">
        <v>605</v>
      </c>
      <c r="H227" s="27"/>
      <c r="I227" s="6"/>
      <c r="J227" s="6"/>
      <c r="K227" s="6"/>
      <c r="L227" s="6"/>
      <c r="M227" s="6"/>
      <c r="N227" s="6"/>
      <c r="O227" s="27" t="s">
        <v>862</v>
      </c>
      <c r="P227" s="34"/>
      <c r="Q227" s="28" t="s">
        <v>1113</v>
      </c>
      <c r="R227" s="29"/>
    </row>
    <row r="228" spans="1:18" ht="17.25" customHeight="1">
      <c r="A228" s="35" t="s">
        <v>209</v>
      </c>
      <c r="B228" s="23" t="str" cm="1">
        <f t="array" ref="B228">_xlfn.TEXTJOIN(", ", TRUE(), _xlfn._xlws.FILTER(Spkrs_Rcrdngs[Speaker],Spkrs_Rcrdngs[Recording]=Rcrdngs[[#This Row],[Text]],"[no speaker selected in Speakers_in_Recordings]"))</f>
        <v>Harran03, Harran02</v>
      </c>
      <c r="C228" s="24" t="str" cm="1">
        <f t="array" ref="C228">_xlfn.TEXTJOIN(", ", TRUE(), _xlfn._xlws.FILTER(Sbcts_Rcrdngs[Subject],Sbcts_Rcrdngs[Recording]=Rcrdngs[[#This Row],[Text]],"[no subject selected in Subjects_in_Recordings]"))</f>
        <v>Bird</v>
      </c>
      <c r="D228" s="25">
        <v>41959</v>
      </c>
      <c r="E228" s="26" t="s">
        <v>1114</v>
      </c>
      <c r="F228" s="27" t="s">
        <v>861</v>
      </c>
      <c r="G228" s="27" t="s">
        <v>605</v>
      </c>
      <c r="H228" s="27" t="s">
        <v>861</v>
      </c>
      <c r="I228" s="6" t="s">
        <v>604</v>
      </c>
      <c r="J228" s="6" t="s">
        <v>861</v>
      </c>
      <c r="K228" s="6" t="s">
        <v>604</v>
      </c>
      <c r="L228" s="6" t="s">
        <v>861</v>
      </c>
      <c r="M228" s="6" t="s">
        <v>604</v>
      </c>
      <c r="N228" s="6"/>
      <c r="O228" s="27" t="s">
        <v>862</v>
      </c>
      <c r="P228" s="34"/>
      <c r="Q228" s="28" t="s">
        <v>1115</v>
      </c>
      <c r="R228" s="29"/>
    </row>
    <row r="229" spans="1:18" ht="17.25" customHeight="1">
      <c r="A229" s="35" t="s">
        <v>210</v>
      </c>
      <c r="B229" s="23" t="str" cm="1">
        <f t="array" ref="B229">_xlfn.TEXTJOIN(", ", TRUE(), _xlfn._xlws.FILTER(Spkrs_Rcrdngs[Speaker],Spkrs_Rcrdngs[Recording]=Rcrdngs[[#This Row],[Text]],"[no speaker selected in Speakers_in_Recordings]"))</f>
        <v>Harran01, Harran03</v>
      </c>
      <c r="C229" s="24" t="str" cm="1">
        <f t="array" ref="C229">_xlfn.TEXTJOIN(", ", TRUE(), _xlfn._xlws.FILTER(Sbcts_Rcrdngs[Subject],Sbcts_Rcrdngs[Recording]=Rcrdngs[[#This Row],[Text]],"[no subject selected in Subjects_in_Recordings]"))</f>
        <v>Icli kofte</v>
      </c>
      <c r="D229" s="25">
        <v>41959</v>
      </c>
      <c r="E229" s="26" t="s">
        <v>1116</v>
      </c>
      <c r="F229" s="27" t="s">
        <v>861</v>
      </c>
      <c r="G229" s="27" t="s">
        <v>605</v>
      </c>
      <c r="H229" s="27" t="s">
        <v>861</v>
      </c>
      <c r="I229" s="6" t="s">
        <v>604</v>
      </c>
      <c r="J229" s="6" t="s">
        <v>861</v>
      </c>
      <c r="K229" s="6" t="s">
        <v>604</v>
      </c>
      <c r="L229" s="6" t="s">
        <v>861</v>
      </c>
      <c r="M229" s="6" t="s">
        <v>604</v>
      </c>
      <c r="N229" s="6"/>
      <c r="O229" s="27" t="s">
        <v>862</v>
      </c>
      <c r="P229" s="34"/>
      <c r="Q229" s="28" t="s">
        <v>1117</v>
      </c>
      <c r="R229" s="29"/>
    </row>
    <row r="230" spans="1:18" ht="17.25" customHeight="1">
      <c r="A230" s="35" t="s">
        <v>211</v>
      </c>
      <c r="B230" s="23" t="str" cm="1">
        <f t="array" ref="B230">_xlfn.TEXTJOIN(", ", TRUE(), _xlfn._xlws.FILTER(Spkrs_Rcrdngs[Speaker],Spkrs_Rcrdngs[Recording]=Rcrdngs[[#This Row],[Text]],"[no speaker selected in Speakers_in_Recordings]"))</f>
        <v>Harran01, Harran03, Harran02</v>
      </c>
      <c r="C230" s="24" t="str" cm="1">
        <f t="array" ref="C230">_xlfn.TEXTJOIN(", ", TRUE(), _xlfn._xlws.FILTER(Sbcts_Rcrdngs[Subject],Sbcts_Rcrdngs[Recording]=Rcrdngs[[#This Row],[Text]],"[no subject selected in Subjects_in_Recordings]"))</f>
        <v>Ashure</v>
      </c>
      <c r="D230" s="25">
        <v>41959</v>
      </c>
      <c r="E230" s="26" t="s">
        <v>1118</v>
      </c>
      <c r="F230" s="27" t="s">
        <v>861</v>
      </c>
      <c r="G230" s="27" t="s">
        <v>605</v>
      </c>
      <c r="H230" s="27" t="s">
        <v>861</v>
      </c>
      <c r="I230" s="6" t="s">
        <v>604</v>
      </c>
      <c r="J230" s="6" t="s">
        <v>861</v>
      </c>
      <c r="K230" s="6" t="s">
        <v>604</v>
      </c>
      <c r="L230" s="6" t="s">
        <v>861</v>
      </c>
      <c r="M230" s="6" t="s">
        <v>604</v>
      </c>
      <c r="N230" s="6"/>
      <c r="O230" s="27" t="s">
        <v>862</v>
      </c>
      <c r="P230" s="34"/>
      <c r="Q230" s="28" t="s">
        <v>1119</v>
      </c>
      <c r="R230" s="29"/>
    </row>
    <row r="231" spans="1:18" ht="17.25" customHeight="1">
      <c r="A231" s="35" t="s">
        <v>212</v>
      </c>
      <c r="B231" s="23" t="str" cm="1">
        <f t="array" ref="B231">_xlfn.TEXTJOIN(", ", TRUE(), _xlfn._xlws.FILTER(Spkrs_Rcrdngs[Speaker],Spkrs_Rcrdngs[Recording]=Rcrdngs[[#This Row],[Text]],"[no speaker selected in Speakers_in_Recordings]"))</f>
        <v>Harran01, Harran02</v>
      </c>
      <c r="C231" s="24" t="str" cm="1">
        <f t="array" ref="C231">_xlfn.TEXTJOIN(", ", TRUE(), _xlfn._xlws.FILTER(Sbcts_Rcrdngs[Subject],Sbcts_Rcrdngs[Recording]=Rcrdngs[[#This Row],[Text]],"[no subject selected in Subjects_in_Recordings]"))</f>
        <v>Dream</v>
      </c>
      <c r="D231" s="25">
        <v>41962</v>
      </c>
      <c r="E231" s="26" t="s">
        <v>1120</v>
      </c>
      <c r="F231" s="27" t="s">
        <v>861</v>
      </c>
      <c r="G231" s="27" t="s">
        <v>605</v>
      </c>
      <c r="H231" s="27" t="s">
        <v>861</v>
      </c>
      <c r="I231" s="6" t="s">
        <v>604</v>
      </c>
      <c r="J231" s="6" t="s">
        <v>861</v>
      </c>
      <c r="K231" s="6" t="s">
        <v>604</v>
      </c>
      <c r="L231" s="6" t="s">
        <v>861</v>
      </c>
      <c r="M231" s="6" t="s">
        <v>604</v>
      </c>
      <c r="N231" s="6"/>
      <c r="O231" s="27" t="s">
        <v>862</v>
      </c>
      <c r="P231" s="34"/>
      <c r="Q231" s="28" t="s">
        <v>1121</v>
      </c>
      <c r="R231" s="29"/>
    </row>
    <row r="232" spans="1:18" ht="17.25" customHeight="1">
      <c r="A232" s="30" t="s">
        <v>213</v>
      </c>
      <c r="B232" s="23" t="str" cm="1">
        <f t="array" ref="B232">_xlfn.TEXTJOIN(", ", TRUE(), _xlfn._xlws.FILTER(Spkrs_Rcrdngs[Speaker],Spkrs_Rcrdngs[Recording]=Rcrdngs[[#This Row],[Text]],"[no speaker selected in Speakers_in_Recordings]"))</f>
        <v>Harran01, Harran03, Harran02</v>
      </c>
      <c r="C232" s="24" t="str" cm="1">
        <f t="array" ref="C232">_xlfn.TEXTJOIN(", ", TRUE(), _xlfn._xlws.FILTER(Sbcts_Rcrdngs[Subject],Sbcts_Rcrdngs[Recording]=Rcrdngs[[#This Row],[Text]],"[no subject selected in Subjects_in_Recordings]"))</f>
        <v>Sheikh Hasan and the Snake</v>
      </c>
      <c r="D232" s="25">
        <v>41964</v>
      </c>
      <c r="E232" s="26" t="s">
        <v>1122</v>
      </c>
      <c r="F232" s="27" t="s">
        <v>861</v>
      </c>
      <c r="G232" s="27" t="s">
        <v>605</v>
      </c>
      <c r="H232" s="27" t="s">
        <v>861</v>
      </c>
      <c r="I232" s="6" t="s">
        <v>604</v>
      </c>
      <c r="J232" s="6" t="s">
        <v>861</v>
      </c>
      <c r="K232" s="6" t="s">
        <v>604</v>
      </c>
      <c r="L232" s="6" t="s">
        <v>861</v>
      </c>
      <c r="M232" s="6" t="s">
        <v>604</v>
      </c>
      <c r="N232" s="6"/>
      <c r="O232" s="27" t="s">
        <v>862</v>
      </c>
      <c r="P232" s="34"/>
      <c r="Q232" s="34" t="s">
        <v>1123</v>
      </c>
      <c r="R232" s="29"/>
    </row>
    <row r="233" spans="1:18" ht="17.25" customHeight="1">
      <c r="A233" s="35" t="s">
        <v>214</v>
      </c>
      <c r="B233" s="23" t="str" cm="1">
        <f t="array" ref="B233">_xlfn.TEXTJOIN(", ", TRUE(), _xlfn._xlws.FILTER(Spkrs_Rcrdngs[Speaker],Spkrs_Rcrdngs[Recording]=Rcrdngs[[#This Row],[Text]],"[no speaker selected in Speakers_in_Recordings]"))</f>
        <v>Harran03</v>
      </c>
      <c r="C233" s="24" t="str" cm="1">
        <f t="array" ref="C233">_xlfn.TEXTJOIN(", ", TRUE(), _xlfn._xlws.FILTER(Sbcts_Rcrdngs[Subject],Sbcts_Rcrdngs[Recording]=Rcrdngs[[#This Row],[Text]],"[no subject selected in Subjects_in_Recordings]"))</f>
        <v>The Magician</v>
      </c>
      <c r="D233" s="25">
        <v>41964</v>
      </c>
      <c r="E233" s="26" t="s">
        <v>1124</v>
      </c>
      <c r="F233" s="27" t="s">
        <v>861</v>
      </c>
      <c r="G233" s="27" t="s">
        <v>605</v>
      </c>
      <c r="H233" s="27"/>
      <c r="I233" s="6"/>
      <c r="J233" s="6"/>
      <c r="K233" s="6"/>
      <c r="L233" s="6"/>
      <c r="M233" s="6"/>
      <c r="N233" s="6"/>
      <c r="O233" s="27" t="s">
        <v>862</v>
      </c>
      <c r="P233" s="34"/>
      <c r="Q233" s="28" t="s">
        <v>1125</v>
      </c>
      <c r="R233" s="29"/>
    </row>
    <row r="234" spans="1:18" ht="17.25" customHeight="1">
      <c r="A234" s="35" t="s">
        <v>215</v>
      </c>
      <c r="B234" s="23" t="str" cm="1">
        <f t="array" ref="B234">_xlfn.TEXTJOIN(", ", TRUE(), _xlfn._xlws.FILTER(Spkrs_Rcrdngs[Speaker],Spkrs_Rcrdngs[Recording]=Rcrdngs[[#This Row],[Text]],"[no speaker selected in Speakers_in_Recordings]"))</f>
        <v>Harran03, Harran02</v>
      </c>
      <c r="C234" s="24" t="str" cm="1">
        <f t="array" ref="C234">_xlfn.TEXTJOIN(", ", TRUE(), _xlfn._xlws.FILTER(Sbcts_Rcrdngs[Subject],Sbcts_Rcrdngs[Recording]=Rcrdngs[[#This Row],[Text]],"[no subject selected in Subjects_in_Recordings]"))</f>
        <v>Childhood</v>
      </c>
      <c r="D234" s="25">
        <v>41964</v>
      </c>
      <c r="E234" s="26" t="s">
        <v>1126</v>
      </c>
      <c r="F234" s="27" t="s">
        <v>861</v>
      </c>
      <c r="G234" s="27" t="s">
        <v>605</v>
      </c>
      <c r="H234" s="27" t="s">
        <v>861</v>
      </c>
      <c r="I234" s="6" t="s">
        <v>604</v>
      </c>
      <c r="J234" s="6" t="s">
        <v>861</v>
      </c>
      <c r="K234" s="6" t="s">
        <v>604</v>
      </c>
      <c r="L234" s="6" t="s">
        <v>861</v>
      </c>
      <c r="M234" s="6" t="s">
        <v>604</v>
      </c>
      <c r="N234" s="6"/>
      <c r="O234" s="27" t="s">
        <v>862</v>
      </c>
      <c r="P234" s="34"/>
      <c r="Q234" s="28" t="s">
        <v>1127</v>
      </c>
      <c r="R234" s="29"/>
    </row>
    <row r="235" spans="1:18" ht="17.25" customHeight="1">
      <c r="A235" s="35" t="s">
        <v>216</v>
      </c>
      <c r="B235" s="23" t="str" cm="1">
        <f t="array" ref="B235">_xlfn.TEXTJOIN(", ", TRUE(), _xlfn._xlws.FILTER(Spkrs_Rcrdngs[Speaker],Spkrs_Rcrdngs[Recording]=Rcrdngs[[#This Row],[Text]],"[no speaker selected in Speakers_in_Recordings]"))</f>
        <v>Harran03</v>
      </c>
      <c r="C235" s="24" t="str" cm="1">
        <f t="array" ref="C235">_xlfn.TEXTJOIN(", ", TRUE(), _xlfn._xlws.FILTER(Sbcts_Rcrdngs[Subject],Sbcts_Rcrdngs[Recording]=Rcrdngs[[#This Row],[Text]],"[no subject selected in Subjects_in_Recordings]"))</f>
        <v>Moses and the Woman</v>
      </c>
      <c r="D235" s="25">
        <v>41964</v>
      </c>
      <c r="E235" s="26" t="s">
        <v>1128</v>
      </c>
      <c r="F235" s="27" t="s">
        <v>861</v>
      </c>
      <c r="G235" s="27" t="s">
        <v>605</v>
      </c>
      <c r="H235" s="27"/>
      <c r="I235" s="6"/>
      <c r="J235" s="6"/>
      <c r="K235" s="6"/>
      <c r="L235" s="6"/>
      <c r="M235" s="6"/>
      <c r="N235" s="6"/>
      <c r="O235" s="27" t="s">
        <v>862</v>
      </c>
      <c r="P235" s="34"/>
      <c r="Q235" s="28" t="s">
        <v>1129</v>
      </c>
      <c r="R235" s="29"/>
    </row>
    <row r="236" spans="1:18" ht="17.25" customHeight="1">
      <c r="A236" s="35" t="s">
        <v>217</v>
      </c>
      <c r="B236" s="23" t="str" cm="1">
        <f t="array" ref="B236">_xlfn.TEXTJOIN(", ", TRUE(), _xlfn._xlws.FILTER(Spkrs_Rcrdngs[Speaker],Spkrs_Rcrdngs[Recording]=Rcrdngs[[#This Row],[Text]],"[no speaker selected in Speakers_in_Recordings]"))</f>
        <v>Harran03, Harran02</v>
      </c>
      <c r="C236" s="24" t="str" cm="1">
        <f t="array" ref="C236">_xlfn.TEXTJOIN(", ", TRUE(), _xlfn._xlws.FILTER(Sbcts_Rcrdngs[Subject],Sbcts_Rcrdngs[Recording]=Rcrdngs[[#This Row],[Text]],"[no subject selected in Subjects_in_Recordings]"))</f>
        <v>Moses and his Neighbor</v>
      </c>
      <c r="D236" s="25">
        <v>41964</v>
      </c>
      <c r="E236" s="26" t="s">
        <v>1130</v>
      </c>
      <c r="F236" s="27" t="s">
        <v>861</v>
      </c>
      <c r="G236" s="27" t="s">
        <v>605</v>
      </c>
      <c r="H236" s="27"/>
      <c r="I236" s="6"/>
      <c r="J236" s="6"/>
      <c r="K236" s="6"/>
      <c r="L236" s="6"/>
      <c r="M236" s="6"/>
      <c r="N236" s="6"/>
      <c r="O236" s="27" t="s">
        <v>862</v>
      </c>
      <c r="P236" s="34"/>
      <c r="Q236" s="28" t="s">
        <v>1131</v>
      </c>
      <c r="R236" s="29"/>
    </row>
    <row r="237" spans="1:18" ht="17.25" customHeight="1">
      <c r="A237" s="35" t="s">
        <v>218</v>
      </c>
      <c r="B237" s="23" t="str" cm="1">
        <f t="array" ref="B237">_xlfn.TEXTJOIN(", ", TRUE(), _xlfn._xlws.FILTER(Spkrs_Rcrdngs[Speaker],Spkrs_Rcrdngs[Recording]=Rcrdngs[[#This Row],[Text]],"[no speaker selected in Speakers_in_Recordings]"))</f>
        <v>Harran03</v>
      </c>
      <c r="C237" s="24" t="str" cm="1">
        <f t="array" ref="C237">_xlfn.TEXTJOIN(", ", TRUE(), _xlfn._xlws.FILTER(Sbcts_Rcrdngs[Subject],Sbcts_Rcrdngs[Recording]=Rcrdngs[[#This Row],[Text]],"[no subject selected in Subjects_in_Recordings]"))</f>
        <v>Moses and the Mangy Dog</v>
      </c>
      <c r="D237" s="25">
        <v>41964</v>
      </c>
      <c r="E237" s="26" t="s">
        <v>983</v>
      </c>
      <c r="F237" s="27" t="s">
        <v>861</v>
      </c>
      <c r="G237" s="27" t="s">
        <v>605</v>
      </c>
      <c r="H237" s="27" t="s">
        <v>861</v>
      </c>
      <c r="I237" s="6" t="s">
        <v>604</v>
      </c>
      <c r="J237" s="6" t="s">
        <v>861</v>
      </c>
      <c r="K237" s="6" t="s">
        <v>604</v>
      </c>
      <c r="L237" s="6" t="s">
        <v>861</v>
      </c>
      <c r="M237" s="6" t="s">
        <v>604</v>
      </c>
      <c r="N237" s="6"/>
      <c r="O237" s="27" t="s">
        <v>862</v>
      </c>
      <c r="P237" s="34"/>
      <c r="Q237" s="28" t="s">
        <v>1132</v>
      </c>
      <c r="R237" s="29"/>
    </row>
    <row r="238" spans="1:18" ht="17.25" customHeight="1">
      <c r="A238" s="35" t="s">
        <v>219</v>
      </c>
      <c r="B238" s="23" t="str" cm="1">
        <f t="array" ref="B238">_xlfn.TEXTJOIN(", ", TRUE(), _xlfn._xlws.FILTER(Spkrs_Rcrdngs[Speaker],Spkrs_Rcrdngs[Recording]=Rcrdngs[[#This Row],[Text]],"[no speaker selected in Speakers_in_Recordings]"))</f>
        <v>Harran03</v>
      </c>
      <c r="C238" s="24" t="str" cm="1">
        <f t="array" ref="C238">_xlfn.TEXTJOIN(", ", TRUE(), _xlfn._xlws.FILTER(Sbcts_Rcrdngs[Subject],Sbcts_Rcrdngs[Recording]=Rcrdngs[[#This Row],[Text]],"[no subject selected in Subjects_in_Recordings]"))</f>
        <v>Moses and the Old woman</v>
      </c>
      <c r="D238" s="25">
        <v>41964</v>
      </c>
      <c r="E238" s="26" t="s">
        <v>872</v>
      </c>
      <c r="F238" s="27" t="s">
        <v>861</v>
      </c>
      <c r="G238" s="27" t="s">
        <v>605</v>
      </c>
      <c r="H238" s="27"/>
      <c r="I238" s="6"/>
      <c r="J238" s="6"/>
      <c r="K238" s="6"/>
      <c r="L238" s="6"/>
      <c r="M238" s="6"/>
      <c r="N238" s="6"/>
      <c r="O238" s="27" t="s">
        <v>862</v>
      </c>
      <c r="P238" s="34"/>
      <c r="Q238" s="28" t="s">
        <v>1133</v>
      </c>
      <c r="R238" s="29"/>
    </row>
    <row r="239" spans="1:18" ht="17.25" customHeight="1">
      <c r="A239" s="35" t="s">
        <v>220</v>
      </c>
      <c r="B239" s="23" t="str" cm="1">
        <f t="array" ref="B239">_xlfn.TEXTJOIN(", ", TRUE(), _xlfn._xlws.FILTER(Spkrs_Rcrdngs[Speaker],Spkrs_Rcrdngs[Recording]=Rcrdngs[[#This Row],[Text]],"[no speaker selected in Speakers_in_Recordings]"))</f>
        <v>Harran01, Harran03, Harran02</v>
      </c>
      <c r="C239" s="24" t="str" cm="1">
        <f t="array" ref="C239">_xlfn.TEXTJOIN(", ", TRUE(), _xlfn._xlws.FILTER(Sbcts_Rcrdngs[Subject],Sbcts_Rcrdngs[Recording]=Rcrdngs[[#This Row],[Text]],"[no subject selected in Subjects_in_Recordings]"))</f>
        <v>Seyhmus</v>
      </c>
      <c r="D239" s="25">
        <v>41964</v>
      </c>
      <c r="E239" s="26" t="s">
        <v>1032</v>
      </c>
      <c r="F239" s="27" t="s">
        <v>861</v>
      </c>
      <c r="G239" s="27" t="s">
        <v>605</v>
      </c>
      <c r="H239" s="27" t="s">
        <v>861</v>
      </c>
      <c r="I239" s="6" t="s">
        <v>604</v>
      </c>
      <c r="J239" s="6" t="s">
        <v>861</v>
      </c>
      <c r="K239" s="6" t="s">
        <v>604</v>
      </c>
      <c r="L239" s="6" t="s">
        <v>861</v>
      </c>
      <c r="M239" s="6" t="s">
        <v>604</v>
      </c>
      <c r="N239" s="6"/>
      <c r="O239" s="27" t="s">
        <v>862</v>
      </c>
      <c r="P239" s="34"/>
      <c r="Q239" s="28" t="s">
        <v>1134</v>
      </c>
      <c r="R239" s="29"/>
    </row>
    <row r="240" spans="1:18" ht="17.25" customHeight="1">
      <c r="A240" s="30" t="s">
        <v>221</v>
      </c>
      <c r="B240" s="23" t="str" cm="1">
        <f t="array" ref="B240">_xlfn.TEXTJOIN(", ", TRUE(), _xlfn._xlws.FILTER(Spkrs_Rcrdngs[Speaker],Spkrs_Rcrdngs[Recording]=Rcrdngs[[#This Row],[Text]],"[no speaker selected in Speakers_in_Recordings]"))</f>
        <v>Harran02</v>
      </c>
      <c r="C240" s="24" t="str" cm="1">
        <f t="array" ref="C240">_xlfn.TEXTJOIN(", ", TRUE(), _xlfn._xlws.FILTER(Sbcts_Rcrdngs[Subject],Sbcts_Rcrdngs[Recording]=Rcrdngs[[#This Row],[Text]],"[no subject selected in Subjects_in_Recordings]"))</f>
        <v>A Jew Visiting Moses</v>
      </c>
      <c r="D240" s="25">
        <v>41964</v>
      </c>
      <c r="E240" s="26" t="s">
        <v>1135</v>
      </c>
      <c r="F240" s="27" t="s">
        <v>861</v>
      </c>
      <c r="G240" s="27" t="s">
        <v>605</v>
      </c>
      <c r="H240" s="27"/>
      <c r="I240" s="6"/>
      <c r="J240" s="6"/>
      <c r="K240" s="6"/>
      <c r="L240" s="6"/>
      <c r="M240" s="6"/>
      <c r="N240" s="6"/>
      <c r="O240" s="27" t="s">
        <v>862</v>
      </c>
      <c r="P240" s="34"/>
      <c r="Q240" s="34" t="s">
        <v>1136</v>
      </c>
      <c r="R240" s="29"/>
    </row>
    <row r="241" spans="1:18" ht="17.25" customHeight="1">
      <c r="A241" s="30" t="s">
        <v>222</v>
      </c>
      <c r="B241" s="23" t="str" cm="1">
        <f t="array" ref="B241">_xlfn.TEXTJOIN(", ", TRUE(), _xlfn._xlws.FILTER(Spkrs_Rcrdngs[Speaker],Spkrs_Rcrdngs[Recording]=Rcrdngs[[#This Row],[Text]],"[no speaker selected in Speakers_in_Recordings]"))</f>
        <v>Harran03</v>
      </c>
      <c r="C241" s="24" t="str" cm="1">
        <f t="array" ref="C241">_xlfn.TEXTJOIN(", ", TRUE(), _xlfn._xlws.FILTER(Sbcts_Rcrdngs[Subject],Sbcts_Rcrdngs[Recording]=Rcrdngs[[#This Row],[Text]],"[no subject selected in Subjects_in_Recordings]"))</f>
        <v>Umm al-Qet</v>
      </c>
      <c r="D241" s="25">
        <v>41966</v>
      </c>
      <c r="E241" s="26" t="s">
        <v>1137</v>
      </c>
      <c r="F241" s="27" t="s">
        <v>861</v>
      </c>
      <c r="G241" s="27" t="s">
        <v>605</v>
      </c>
      <c r="H241" s="27" t="s">
        <v>861</v>
      </c>
      <c r="I241" s="6" t="s">
        <v>604</v>
      </c>
      <c r="J241" s="6" t="s">
        <v>861</v>
      </c>
      <c r="K241" s="6" t="s">
        <v>604</v>
      </c>
      <c r="L241" s="6" t="s">
        <v>861</v>
      </c>
      <c r="M241" s="6" t="s">
        <v>604</v>
      </c>
      <c r="N241" s="6"/>
      <c r="O241" s="27" t="s">
        <v>862</v>
      </c>
      <c r="P241" s="34"/>
      <c r="Q241" s="34" t="s">
        <v>1138</v>
      </c>
      <c r="R241" s="29"/>
    </row>
    <row r="242" spans="1:18" ht="17.25" customHeight="1">
      <c r="A242" s="35" t="s">
        <v>223</v>
      </c>
      <c r="B242" s="23" t="str" cm="1">
        <f t="array" ref="B242">_xlfn.TEXTJOIN(", ", TRUE(), _xlfn._xlws.FILTER(Spkrs_Rcrdngs[Speaker],Spkrs_Rcrdngs[Recording]=Rcrdngs[[#This Row],[Text]],"[no speaker selected in Speakers_in_Recordings]"))</f>
        <v>Harran01, Harran03</v>
      </c>
      <c r="C242" s="24" t="str" cm="1">
        <f t="array" ref="C242">_xlfn.TEXTJOIN(", ", TRUE(), _xlfn._xlws.FILTER(Sbcts_Rcrdngs[Subject],Sbcts_Rcrdngs[Recording]=Rcrdngs[[#This Row],[Text]],"[no subject selected in Subjects_in_Recordings]"))</f>
        <v>Quilts</v>
      </c>
      <c r="D242" s="25">
        <v>41966</v>
      </c>
      <c r="E242" s="26" t="s">
        <v>1139</v>
      </c>
      <c r="F242" s="27" t="s">
        <v>861</v>
      </c>
      <c r="G242" s="27" t="s">
        <v>605</v>
      </c>
      <c r="H242" s="27" t="s">
        <v>861</v>
      </c>
      <c r="I242" s="6" t="s">
        <v>604</v>
      </c>
      <c r="J242" s="6" t="s">
        <v>861</v>
      </c>
      <c r="K242" s="6" t="s">
        <v>604</v>
      </c>
      <c r="L242" s="6" t="s">
        <v>861</v>
      </c>
      <c r="M242" s="6" t="s">
        <v>604</v>
      </c>
      <c r="N242" s="6"/>
      <c r="O242" s="27" t="s">
        <v>862</v>
      </c>
      <c r="P242" s="34"/>
      <c r="Q242" s="28" t="s">
        <v>1140</v>
      </c>
      <c r="R242" s="29"/>
    </row>
    <row r="243" spans="1:18" ht="17.25" customHeight="1">
      <c r="A243" s="35" t="s">
        <v>224</v>
      </c>
      <c r="B243" s="23" t="str" cm="1">
        <f t="array" ref="B243">_xlfn.TEXTJOIN(", ", TRUE(), _xlfn._xlws.FILTER(Spkrs_Rcrdngs[Speaker],Spkrs_Rcrdngs[Recording]=Rcrdngs[[#This Row],[Text]],"[no speaker selected in Speakers_in_Recordings]"))</f>
        <v>Harran01, Harran03</v>
      </c>
      <c r="C243" s="24" t="str" cm="1">
        <f t="array" ref="C243">_xlfn.TEXTJOIN(", ", TRUE(), _xlfn._xlws.FILTER(Sbcts_Rcrdngs[Subject],Sbcts_Rcrdngs[Recording]=Rcrdngs[[#This Row],[Text]],"[no subject selected in Subjects_in_Recordings]"))</f>
        <v>Baking Bread</v>
      </c>
      <c r="D243" s="25">
        <v>41966</v>
      </c>
      <c r="E243" s="26" t="s">
        <v>1141</v>
      </c>
      <c r="F243" s="27" t="s">
        <v>861</v>
      </c>
      <c r="G243" s="27" t="s">
        <v>605</v>
      </c>
      <c r="H243" s="27" t="s">
        <v>861</v>
      </c>
      <c r="I243" s="6" t="s">
        <v>604</v>
      </c>
      <c r="J243" s="6" t="s">
        <v>861</v>
      </c>
      <c r="K243" s="6" t="s">
        <v>861</v>
      </c>
      <c r="L243" s="6" t="s">
        <v>604</v>
      </c>
      <c r="M243" s="6" t="s">
        <v>604</v>
      </c>
      <c r="N243" s="6"/>
      <c r="O243" s="27" t="s">
        <v>862</v>
      </c>
      <c r="P243" s="34"/>
      <c r="Q243" s="28" t="s">
        <v>1142</v>
      </c>
      <c r="R243" s="29"/>
    </row>
    <row r="244" spans="1:18" ht="17.25" customHeight="1">
      <c r="A244" s="35" t="s">
        <v>225</v>
      </c>
      <c r="B244" s="23" t="str" cm="1">
        <f t="array" ref="B244">_xlfn.TEXTJOIN(", ", TRUE(), _xlfn._xlws.FILTER(Spkrs_Rcrdngs[Speaker],Spkrs_Rcrdngs[Recording]=Rcrdngs[[#This Row],[Text]],"[no speaker selected in Speakers_in_Recordings]"))</f>
        <v>Harran03, Harran02</v>
      </c>
      <c r="C244" s="24" t="str" cm="1">
        <f t="array" ref="C244">_xlfn.TEXTJOIN(", ", TRUE(), _xlfn._xlws.FILTER(Sbcts_Rcrdngs[Subject],Sbcts_Rcrdngs[Recording]=Rcrdngs[[#This Row],[Text]],"[no subject selected in Subjects_in_Recordings]"))</f>
        <v>Childhood</v>
      </c>
      <c r="D244" s="25">
        <v>41966</v>
      </c>
      <c r="E244" s="26" t="s">
        <v>1143</v>
      </c>
      <c r="F244" s="27" t="s">
        <v>861</v>
      </c>
      <c r="G244" s="27" t="s">
        <v>605</v>
      </c>
      <c r="H244" s="27" t="s">
        <v>861</v>
      </c>
      <c r="I244" s="6" t="s">
        <v>604</v>
      </c>
      <c r="J244" s="6" t="s">
        <v>861</v>
      </c>
      <c r="K244" s="6" t="s">
        <v>604</v>
      </c>
      <c r="L244" s="6" t="s">
        <v>861</v>
      </c>
      <c r="M244" s="6" t="s">
        <v>604</v>
      </c>
      <c r="N244" s="6"/>
      <c r="O244" s="27" t="s">
        <v>862</v>
      </c>
      <c r="P244" s="34"/>
      <c r="Q244" s="28" t="s">
        <v>1144</v>
      </c>
      <c r="R244" s="29"/>
    </row>
    <row r="245" spans="1:18" ht="17.25" customHeight="1">
      <c r="A245" s="35" t="s">
        <v>226</v>
      </c>
      <c r="B245" s="23" t="str" cm="1">
        <f t="array" ref="B245">_xlfn.TEXTJOIN(", ", TRUE(), _xlfn._xlws.FILTER(Spkrs_Rcrdngs[Speaker],Spkrs_Rcrdngs[Recording]=Rcrdngs[[#This Row],[Text]],"[no speaker selected in Speakers_in_Recordings]"))</f>
        <v>Harran02</v>
      </c>
      <c r="C245" s="24" t="str" cm="1">
        <f t="array" ref="C245">_xlfn.TEXTJOIN(", ", TRUE(), _xlfn._xlws.FILTER(Sbcts_Rcrdngs[Subject],Sbcts_Rcrdngs[Recording]=Rcrdngs[[#This Row],[Text]],"[no subject selected in Subjects_in_Recordings]"))</f>
        <v>Three Wishes</v>
      </c>
      <c r="D245" s="25">
        <v>41966</v>
      </c>
      <c r="E245" s="26" t="s">
        <v>1145</v>
      </c>
      <c r="F245" s="27" t="s">
        <v>861</v>
      </c>
      <c r="G245" s="27" t="s">
        <v>605</v>
      </c>
      <c r="H245" s="27"/>
      <c r="I245" s="6"/>
      <c r="J245" s="6"/>
      <c r="K245" s="6"/>
      <c r="L245" s="6"/>
      <c r="M245" s="6"/>
      <c r="N245" s="6"/>
      <c r="O245" s="27" t="s">
        <v>862</v>
      </c>
      <c r="P245" s="34"/>
      <c r="Q245" s="28" t="s">
        <v>1146</v>
      </c>
      <c r="R245" s="29"/>
    </row>
    <row r="246" spans="1:18" ht="17.25" customHeight="1">
      <c r="A246" s="35" t="s">
        <v>227</v>
      </c>
      <c r="B246" s="23" t="str" cm="1">
        <f t="array" ref="B246">_xlfn.TEXTJOIN(", ", TRUE(), _xlfn._xlws.FILTER(Spkrs_Rcrdngs[Speaker],Spkrs_Rcrdngs[Recording]=Rcrdngs[[#This Row],[Text]],"[no speaker selected in Speakers_in_Recordings]"))</f>
        <v>Harran02</v>
      </c>
      <c r="C246" s="24" t="str" cm="1">
        <f t="array" ref="C246">_xlfn.TEXTJOIN(", ", TRUE(), _xlfn._xlws.FILTER(Sbcts_Rcrdngs[Subject],Sbcts_Rcrdngs[Recording]=Rcrdngs[[#This Row],[Text]],"[no subject selected in Subjects_in_Recordings]"))</f>
        <v>Sheikh 'Nad</v>
      </c>
      <c r="D246" s="25">
        <v>41966</v>
      </c>
      <c r="E246" s="26" t="s">
        <v>1147</v>
      </c>
      <c r="F246" s="27" t="s">
        <v>861</v>
      </c>
      <c r="G246" s="27" t="s">
        <v>605</v>
      </c>
      <c r="H246" s="27" t="s">
        <v>861</v>
      </c>
      <c r="I246" s="6" t="s">
        <v>604</v>
      </c>
      <c r="J246" s="6" t="s">
        <v>861</v>
      </c>
      <c r="K246" s="6" t="s">
        <v>604</v>
      </c>
      <c r="L246" s="6" t="s">
        <v>861</v>
      </c>
      <c r="M246" s="6" t="s">
        <v>604</v>
      </c>
      <c r="N246" s="6"/>
      <c r="O246" s="27" t="s">
        <v>862</v>
      </c>
      <c r="P246" s="34"/>
      <c r="Q246" s="28" t="s">
        <v>1148</v>
      </c>
      <c r="R246" s="29"/>
    </row>
    <row r="247" spans="1:18" ht="17.25" customHeight="1">
      <c r="A247" s="35" t="s">
        <v>228</v>
      </c>
      <c r="B247" s="23" t="str" cm="1">
        <f t="array" ref="B247">_xlfn.TEXTJOIN(", ", TRUE(), _xlfn._xlws.FILTER(Spkrs_Rcrdngs[Speaker],Spkrs_Rcrdngs[Recording]=Rcrdngs[[#This Row],[Text]],"[no speaker selected in Speakers_in_Recordings]"))</f>
        <v>Harran02</v>
      </c>
      <c r="C247" s="24" t="str" cm="1">
        <f t="array" ref="C247">_xlfn.TEXTJOIN(", ", TRUE(), _xlfn._xlws.FILTER(Sbcts_Rcrdngs[Subject],Sbcts_Rcrdngs[Recording]=Rcrdngs[[#This Row],[Text]],"[no subject selected in Subjects_in_Recordings]"))</f>
        <v>Butchering a Sheep</v>
      </c>
      <c r="D247" s="25">
        <v>41966</v>
      </c>
      <c r="E247" s="26" t="s">
        <v>1122</v>
      </c>
      <c r="F247" s="27" t="s">
        <v>861</v>
      </c>
      <c r="G247" s="27" t="s">
        <v>605</v>
      </c>
      <c r="H247" s="27"/>
      <c r="I247" s="6"/>
      <c r="J247" s="6"/>
      <c r="K247" s="6"/>
      <c r="L247" s="6"/>
      <c r="M247" s="6"/>
      <c r="N247" s="6"/>
      <c r="O247" s="27" t="s">
        <v>862</v>
      </c>
      <c r="P247" s="34"/>
      <c r="Q247" s="28" t="s">
        <v>1149</v>
      </c>
      <c r="R247" s="29"/>
    </row>
    <row r="248" spans="1:18" ht="17.25" customHeight="1">
      <c r="A248" s="30" t="s">
        <v>229</v>
      </c>
      <c r="B248" s="23" t="str" cm="1">
        <f t="array" ref="B248">_xlfn.TEXTJOIN(", ", TRUE(), _xlfn._xlws.FILTER(Spkrs_Rcrdngs[Speaker],Spkrs_Rcrdngs[Recording]=Rcrdngs[[#This Row],[Text]],"[no speaker selected in Speakers_in_Recordings]"))</f>
        <v>Harran02</v>
      </c>
      <c r="C248" s="24" t="str" cm="1">
        <f t="array" ref="C248">_xlfn.TEXTJOIN(", ", TRUE(), _xlfn._xlws.FILTER(Sbcts_Rcrdngs[Subject],Sbcts_Rcrdngs[Recording]=Rcrdngs[[#This Row],[Text]],"[no subject selected in Subjects_in_Recordings]"))</f>
        <v>Ottoman in England</v>
      </c>
      <c r="D248" s="25">
        <v>41966</v>
      </c>
      <c r="E248" s="26" t="s">
        <v>1150</v>
      </c>
      <c r="F248" s="27" t="s">
        <v>861</v>
      </c>
      <c r="G248" s="27" t="s">
        <v>605</v>
      </c>
      <c r="H248" s="27"/>
      <c r="I248" s="6"/>
      <c r="J248" s="6"/>
      <c r="K248" s="6"/>
      <c r="L248" s="6"/>
      <c r="M248" s="6"/>
      <c r="N248" s="6"/>
      <c r="O248" s="27" t="s">
        <v>862</v>
      </c>
      <c r="P248" s="34"/>
      <c r="Q248" s="34" t="s">
        <v>1151</v>
      </c>
      <c r="R248" s="29"/>
    </row>
    <row r="249" spans="1:18" ht="17.25" customHeight="1">
      <c r="A249" s="30" t="s">
        <v>230</v>
      </c>
      <c r="B249" s="23" t="str" cm="1">
        <f t="array" ref="B249">_xlfn.TEXTJOIN(", ", TRUE(), _xlfn._xlws.FILTER(Spkrs_Rcrdngs[Speaker],Spkrs_Rcrdngs[Recording]=Rcrdngs[[#This Row],[Text]],"[no speaker selected in Speakers_in_Recordings]"))</f>
        <v>Harran02</v>
      </c>
      <c r="C249" s="24" t="str" cm="1">
        <f t="array" ref="C249">_xlfn.TEXTJOIN(", ", TRUE(), _xlfn._xlws.FILTER(Sbcts_Rcrdngs[Subject],Sbcts_Rcrdngs[Recording]=Rcrdngs[[#This Row],[Text]],"[no subject selected in Subjects_in_Recordings]"))</f>
        <v>Ottoman in England</v>
      </c>
      <c r="D249" s="25">
        <v>41966</v>
      </c>
      <c r="E249" s="26" t="s">
        <v>1090</v>
      </c>
      <c r="F249" s="27" t="s">
        <v>861</v>
      </c>
      <c r="G249" s="27" t="s">
        <v>605</v>
      </c>
      <c r="H249" s="27"/>
      <c r="I249" s="6"/>
      <c r="J249" s="6"/>
      <c r="K249" s="6"/>
      <c r="L249" s="6"/>
      <c r="M249" s="6"/>
      <c r="N249" s="6"/>
      <c r="O249" s="27" t="s">
        <v>862</v>
      </c>
      <c r="P249" s="34"/>
      <c r="Q249" s="34" t="s">
        <v>1152</v>
      </c>
      <c r="R249" s="29"/>
    </row>
    <row r="250" spans="1:18" ht="17.25" customHeight="1">
      <c r="A250" s="30" t="s">
        <v>231</v>
      </c>
      <c r="B250" s="23" t="str" cm="1">
        <f t="array" ref="B250">_xlfn.TEXTJOIN(", ", TRUE(), _xlfn._xlws.FILTER(Spkrs_Rcrdngs[Speaker],Spkrs_Rcrdngs[Recording]=Rcrdngs[[#This Row],[Text]],"[no speaker selected in Speakers_in_Recordings]"))</f>
        <v>Harran02</v>
      </c>
      <c r="C250" s="24" t="str" cm="1">
        <f t="array" ref="C250">_xlfn.TEXTJOIN(", ", TRUE(), _xlfn._xlws.FILTER(Sbcts_Rcrdngs[Subject],Sbcts_Rcrdngs[Recording]=Rcrdngs[[#This Row],[Text]],"[no subject selected in Subjects_in_Recordings]"))</f>
        <v>Moses Spreading Livelihood</v>
      </c>
      <c r="D250" s="25">
        <v>41966</v>
      </c>
      <c r="E250" s="26" t="s">
        <v>1137</v>
      </c>
      <c r="F250" s="27" t="s">
        <v>861</v>
      </c>
      <c r="G250" s="27" t="s">
        <v>605</v>
      </c>
      <c r="H250" s="27"/>
      <c r="I250" s="6"/>
      <c r="J250" s="6"/>
      <c r="K250" s="6"/>
      <c r="L250" s="6"/>
      <c r="M250" s="6"/>
      <c r="N250" s="6"/>
      <c r="O250" s="27" t="s">
        <v>862</v>
      </c>
      <c r="P250" s="28"/>
      <c r="Q250" s="28" t="s">
        <v>1153</v>
      </c>
      <c r="R250" s="29"/>
    </row>
    <row r="251" spans="1:18" ht="17.25" customHeight="1">
      <c r="A251" s="30" t="s">
        <v>232</v>
      </c>
      <c r="B251" s="23" t="str" cm="1">
        <f t="array" ref="B251">_xlfn.TEXTJOIN(", ", TRUE(), _xlfn._xlws.FILTER(Spkrs_Rcrdngs[Speaker],Spkrs_Rcrdngs[Recording]=Rcrdngs[[#This Row],[Text]],"[no speaker selected in Speakers_in_Recordings]"))</f>
        <v>Harran01, Harran02</v>
      </c>
      <c r="C251" s="24" t="str" cm="1">
        <f t="array" ref="C251">_xlfn.TEXTJOIN(", ", TRUE(), _xlfn._xlws.FILTER(Sbcts_Rcrdngs[Subject],Sbcts_Rcrdngs[Recording]=Rcrdngs[[#This Row],[Text]],"[no subject selected in Subjects_in_Recordings]"))</f>
        <v>Working in a Gas Station</v>
      </c>
      <c r="D251" s="25">
        <v>41968</v>
      </c>
      <c r="E251" s="26" t="s">
        <v>1154</v>
      </c>
      <c r="F251" s="27" t="s">
        <v>861</v>
      </c>
      <c r="G251" s="27" t="s">
        <v>605</v>
      </c>
      <c r="H251" s="27" t="s">
        <v>861</v>
      </c>
      <c r="I251" s="6" t="s">
        <v>604</v>
      </c>
      <c r="J251" s="6" t="s">
        <v>861</v>
      </c>
      <c r="K251" s="6"/>
      <c r="L251" s="6"/>
      <c r="M251" s="6"/>
      <c r="N251" s="6"/>
      <c r="O251" s="27" t="s">
        <v>862</v>
      </c>
      <c r="P251" s="34"/>
      <c r="Q251" s="34" t="s">
        <v>1155</v>
      </c>
      <c r="R251" s="29"/>
    </row>
    <row r="252" spans="1:18" ht="17.25" customHeight="1">
      <c r="A252" s="30" t="s">
        <v>233</v>
      </c>
      <c r="B252" s="23" t="str" cm="1">
        <f t="array" ref="B252">_xlfn.TEXTJOIN(", ", TRUE(), _xlfn._xlws.FILTER(Spkrs_Rcrdngs[Speaker],Spkrs_Rcrdngs[Recording]=Rcrdngs[[#This Row],[Text]],"[no speaker selected in Speakers_in_Recordings]"))</f>
        <v>Harran06</v>
      </c>
      <c r="C252" s="24" t="str" cm="1">
        <f t="array" ref="C252">_xlfn.TEXTJOIN(", ", TRUE(), _xlfn._xlws.FILTER(Sbcts_Rcrdngs[Subject],Sbcts_Rcrdngs[Recording]=Rcrdngs[[#This Row],[Text]],"[no subject selected in Subjects_in_Recordings]"))</f>
        <v>Woman with No Lover</v>
      </c>
      <c r="D252" s="25">
        <v>41969</v>
      </c>
      <c r="E252" s="26" t="s">
        <v>1156</v>
      </c>
      <c r="F252" s="27" t="s">
        <v>861</v>
      </c>
      <c r="G252" s="27" t="s">
        <v>605</v>
      </c>
      <c r="H252" s="27" t="s">
        <v>861</v>
      </c>
      <c r="I252" s="6" t="s">
        <v>604</v>
      </c>
      <c r="J252" s="6" t="s">
        <v>861</v>
      </c>
      <c r="K252" s="6" t="s">
        <v>604</v>
      </c>
      <c r="L252" s="6" t="s">
        <v>861</v>
      </c>
      <c r="M252" s="6" t="s">
        <v>604</v>
      </c>
      <c r="N252" s="6"/>
      <c r="O252" s="27" t="s">
        <v>862</v>
      </c>
      <c r="P252" s="34"/>
      <c r="Q252" s="34" t="s">
        <v>1157</v>
      </c>
      <c r="R252" s="29"/>
    </row>
    <row r="253" spans="1:18" ht="17.25" customHeight="1">
      <c r="A253" s="30" t="s">
        <v>234</v>
      </c>
      <c r="B253" s="23" t="str" cm="1">
        <f t="array" ref="B253">_xlfn.TEXTJOIN(", ", TRUE(), _xlfn._xlws.FILTER(Spkrs_Rcrdngs[Speaker],Spkrs_Rcrdngs[Recording]=Rcrdngs[[#This Row],[Text]],"[no speaker selected in Speakers_in_Recordings]"))</f>
        <v>Harran06, Harran02</v>
      </c>
      <c r="C253" s="24" t="str" cm="1">
        <f t="array" ref="C253">_xlfn.TEXTJOIN(", ", TRUE(), _xlfn._xlws.FILTER(Sbcts_Rcrdngs[Subject],Sbcts_Rcrdngs[Recording]=Rcrdngs[[#This Row],[Text]],"[no subject selected in Subjects_in_Recordings]"))</f>
        <v>Games</v>
      </c>
      <c r="D253" s="25">
        <v>41969</v>
      </c>
      <c r="E253" s="26" t="s">
        <v>754</v>
      </c>
      <c r="F253" s="27" t="s">
        <v>861</v>
      </c>
      <c r="G253" s="27" t="s">
        <v>605</v>
      </c>
      <c r="H253" s="27"/>
      <c r="I253" s="6"/>
      <c r="J253" s="6"/>
      <c r="K253" s="6"/>
      <c r="L253" s="6"/>
      <c r="M253" s="6"/>
      <c r="N253" s="6"/>
      <c r="O253" s="27" t="s">
        <v>862</v>
      </c>
      <c r="P253" s="34"/>
      <c r="Q253" s="34" t="s">
        <v>1158</v>
      </c>
      <c r="R253" s="29"/>
    </row>
    <row r="254" spans="1:18" ht="17.25" customHeight="1">
      <c r="A254" s="30" t="s">
        <v>235</v>
      </c>
      <c r="B254" s="23" t="str" cm="1">
        <f t="array" ref="B254">_xlfn.TEXTJOIN(", ", TRUE(), _xlfn._xlws.FILTER(Spkrs_Rcrdngs[Speaker],Spkrs_Rcrdngs[Recording]=Rcrdngs[[#This Row],[Text]],"[no speaker selected in Speakers_in_Recordings]"))</f>
        <v>Harran03</v>
      </c>
      <c r="C254" s="24" t="str" cm="1">
        <f t="array" ref="C254">_xlfn.TEXTJOIN(", ", TRUE(), _xlfn._xlws.FILTER(Sbcts_Rcrdngs[Subject],Sbcts_Rcrdngs[Recording]=Rcrdngs[[#This Row],[Text]],"[no subject selected in Subjects_in_Recordings]"))</f>
        <v>Bastig, Nfaradha</v>
      </c>
      <c r="D254" s="25">
        <v>41969</v>
      </c>
      <c r="E254" s="26" t="s">
        <v>1159</v>
      </c>
      <c r="F254" s="27" t="s">
        <v>861</v>
      </c>
      <c r="G254" s="27" t="s">
        <v>605</v>
      </c>
      <c r="H254" s="27" t="s">
        <v>861</v>
      </c>
      <c r="I254" s="6" t="s">
        <v>604</v>
      </c>
      <c r="J254" s="6" t="s">
        <v>861</v>
      </c>
      <c r="K254" s="6" t="s">
        <v>604</v>
      </c>
      <c r="L254" s="6" t="s">
        <v>861</v>
      </c>
      <c r="M254" s="6" t="s">
        <v>604</v>
      </c>
      <c r="N254" s="6"/>
      <c r="O254" s="27" t="s">
        <v>862</v>
      </c>
      <c r="P254" s="34"/>
      <c r="Q254" s="34" t="s">
        <v>1160</v>
      </c>
      <c r="R254" s="29"/>
    </row>
    <row r="255" spans="1:18" ht="17.25" customHeight="1">
      <c r="A255" s="35" t="s">
        <v>236</v>
      </c>
      <c r="B255" s="23" t="str" cm="1">
        <f t="array" ref="B255">_xlfn.TEXTJOIN(", ", TRUE(), _xlfn._xlws.FILTER(Spkrs_Rcrdngs[Speaker],Spkrs_Rcrdngs[Recording]=Rcrdngs[[#This Row],[Text]],"[no speaker selected in Speakers_in_Recordings]"))</f>
        <v>Harran01, Harran03</v>
      </c>
      <c r="C255" s="24" t="str" cm="1">
        <f t="array" ref="C255">_xlfn.TEXTJOIN(", ", TRUE(), _xlfn._xlws.FILTER(Sbcts_Rcrdngs[Subject],Sbcts_Rcrdngs[Recording]=Rcrdngs[[#This Row],[Text]],"[no subject selected in Subjects_in_Recordings]"))</f>
        <v>Condolences</v>
      </c>
      <c r="D255" s="25">
        <v>41969</v>
      </c>
      <c r="E255" s="26" t="s">
        <v>1161</v>
      </c>
      <c r="F255" s="27" t="s">
        <v>861</v>
      </c>
      <c r="G255" s="27" t="s">
        <v>605</v>
      </c>
      <c r="H255" s="27" t="s">
        <v>861</v>
      </c>
      <c r="I255" s="6" t="s">
        <v>604</v>
      </c>
      <c r="J255" s="6" t="s">
        <v>861</v>
      </c>
      <c r="K255" s="6" t="s">
        <v>604</v>
      </c>
      <c r="L255" s="6" t="s">
        <v>861</v>
      </c>
      <c r="M255" s="6" t="s">
        <v>604</v>
      </c>
      <c r="N255" s="6"/>
      <c r="O255" s="27" t="s">
        <v>862</v>
      </c>
      <c r="P255" s="34"/>
      <c r="Q255" s="28" t="s">
        <v>1162</v>
      </c>
      <c r="R255" s="29"/>
    </row>
    <row r="256" spans="1:18" ht="17.25" customHeight="1">
      <c r="A256" s="35" t="s">
        <v>237</v>
      </c>
      <c r="B256" s="23" t="str" cm="1">
        <f t="array" ref="B256">_xlfn.TEXTJOIN(", ", TRUE(), _xlfn._xlws.FILTER(Spkrs_Rcrdngs[Speaker],Spkrs_Rcrdngs[Recording]=Rcrdngs[[#This Row],[Text]],"[no speaker selected in Speakers_in_Recordings]"))</f>
        <v>Harran02, Harran03</v>
      </c>
      <c r="C256" s="24" t="str" cm="1">
        <f t="array" ref="C256">_xlfn.TEXTJOIN(", ", TRUE(), _xlfn._xlws.FILTER(Sbcts_Rcrdngs[Subject],Sbcts_Rcrdngs[Recording]=Rcrdngs[[#This Row],[Text]],"[no subject selected in Subjects_in_Recordings]"))</f>
        <v>Marriage in Former Times</v>
      </c>
      <c r="D256" s="25">
        <v>41969</v>
      </c>
      <c r="E256" s="26" t="s">
        <v>1163</v>
      </c>
      <c r="F256" s="27" t="s">
        <v>861</v>
      </c>
      <c r="G256" s="27" t="s">
        <v>605</v>
      </c>
      <c r="H256" s="27" t="s">
        <v>861</v>
      </c>
      <c r="I256" s="6" t="s">
        <v>604</v>
      </c>
      <c r="J256" s="6" t="s">
        <v>861</v>
      </c>
      <c r="K256" s="6" t="s">
        <v>604</v>
      </c>
      <c r="L256" s="6" t="s">
        <v>861</v>
      </c>
      <c r="M256" s="6" t="s">
        <v>604</v>
      </c>
      <c r="N256" s="6"/>
      <c r="O256" s="27" t="s">
        <v>862</v>
      </c>
      <c r="P256" s="34"/>
      <c r="Q256" s="28" t="s">
        <v>1164</v>
      </c>
      <c r="R256" s="29"/>
    </row>
    <row r="257" spans="1:18" ht="17.25" customHeight="1">
      <c r="A257" s="30" t="s">
        <v>238</v>
      </c>
      <c r="B257" s="23" t="str" cm="1">
        <f t="array" ref="B257">_xlfn.TEXTJOIN(", ", TRUE(), _xlfn._xlws.FILTER(Spkrs_Rcrdngs[Speaker],Spkrs_Rcrdngs[Recording]=Rcrdngs[[#This Row],[Text]],"[no speaker selected in Speakers_in_Recordings]"))</f>
        <v>Harran03</v>
      </c>
      <c r="C257" s="24" t="str" cm="1">
        <f t="array" ref="C257">_xlfn.TEXTJOIN(", ", TRUE(), _xlfn._xlws.FILTER(Sbcts_Rcrdngs[Subject],Sbcts_Rcrdngs[Recording]=Rcrdngs[[#This Row],[Text]],"[no subject selected in Subjects_in_Recordings]"))</f>
        <v>Wedding Nowadays</v>
      </c>
      <c r="D257" s="25">
        <v>41969</v>
      </c>
      <c r="E257" s="26" t="s">
        <v>653</v>
      </c>
      <c r="F257" s="27" t="s">
        <v>861</v>
      </c>
      <c r="G257" s="27" t="s">
        <v>605</v>
      </c>
      <c r="H257" s="27"/>
      <c r="I257" s="6"/>
      <c r="J257" s="6"/>
      <c r="K257" s="6"/>
      <c r="L257" s="6"/>
      <c r="M257" s="6"/>
      <c r="N257" s="6"/>
      <c r="O257" s="27" t="s">
        <v>862</v>
      </c>
      <c r="P257" s="28"/>
      <c r="Q257" s="28" t="s">
        <v>1165</v>
      </c>
      <c r="R257" s="29"/>
    </row>
    <row r="258" spans="1:18" ht="17.25" customHeight="1">
      <c r="A258" s="30" t="s">
        <v>239</v>
      </c>
      <c r="B258" s="24" t="str" cm="1">
        <f t="array" ref="B258">_xlfn.TEXTJOIN(", ", TRUE(), _xlfn._xlws.FILTER(Spkrs_Rcrdngs[Speaker],Spkrs_Rcrdngs[Recording]=Rcrdngs[[#This Row],[Text]],"[no speaker selected in Speakers_in_Recordings]"))</f>
        <v>Harran03</v>
      </c>
      <c r="C258" s="24" t="str" cm="1">
        <f t="array" ref="C258">_xlfn.TEXTJOIN(", ", TRUE(), _xlfn._xlws.FILTER(Sbcts_Rcrdngs[Subject],Sbcts_Rcrdngs[Recording]=Rcrdngs[[#This Row],[Text]],"[no subject selected in Subjects_in_Recordings]"))</f>
        <v>Grandfather</v>
      </c>
      <c r="D258" s="31">
        <v>41969</v>
      </c>
      <c r="E258" s="32" t="s">
        <v>1166</v>
      </c>
      <c r="F258" s="28" t="s">
        <v>861</v>
      </c>
      <c r="G258" s="27" t="s">
        <v>605</v>
      </c>
      <c r="H258" s="28" t="s">
        <v>861</v>
      </c>
      <c r="I258" s="9" t="s">
        <v>604</v>
      </c>
      <c r="J258" s="9" t="s">
        <v>861</v>
      </c>
      <c r="K258" s="9" t="s">
        <v>604</v>
      </c>
      <c r="L258" s="9" t="s">
        <v>861</v>
      </c>
      <c r="M258" s="9" t="s">
        <v>604</v>
      </c>
      <c r="N258" s="9"/>
      <c r="O258" s="28" t="s">
        <v>862</v>
      </c>
      <c r="P258" s="34"/>
      <c r="Q258" s="28" t="s">
        <v>1167</v>
      </c>
      <c r="R258" s="33"/>
    </row>
    <row r="259" spans="1:18" ht="17.25" customHeight="1">
      <c r="A259" s="30" t="s">
        <v>240</v>
      </c>
      <c r="B259" s="23" t="str" cm="1">
        <f t="array" ref="B259">_xlfn.TEXTJOIN(", ", TRUE(), _xlfn._xlws.FILTER(Spkrs_Rcrdngs[Speaker],Spkrs_Rcrdngs[Recording]=Rcrdngs[[#This Row],[Text]],"[no speaker selected in Speakers_in_Recordings]"))</f>
        <v>Harran03</v>
      </c>
      <c r="C259" s="24" t="str" cm="1">
        <f t="array" ref="C259">_xlfn.TEXTJOIN(", ", TRUE(), _xlfn._xlws.FILTER(Sbcts_Rcrdngs[Subject],Sbcts_Rcrdngs[Recording]=Rcrdngs[[#This Row],[Text]],"[no subject selected in Subjects_in_Recordings]"))</f>
        <v>Diseases in Former Times</v>
      </c>
      <c r="D259" s="25">
        <v>41969</v>
      </c>
      <c r="E259" s="26" t="s">
        <v>1168</v>
      </c>
      <c r="F259" s="27" t="s">
        <v>861</v>
      </c>
      <c r="G259" s="27" t="s">
        <v>605</v>
      </c>
      <c r="H259" s="27" t="s">
        <v>861</v>
      </c>
      <c r="I259" s="6" t="s">
        <v>604</v>
      </c>
      <c r="J259" s="6" t="s">
        <v>861</v>
      </c>
      <c r="K259" s="6"/>
      <c r="L259" s="6"/>
      <c r="M259" s="6"/>
      <c r="N259" s="6"/>
      <c r="O259" s="28" t="s">
        <v>862</v>
      </c>
      <c r="P259" s="34"/>
      <c r="Q259" s="28" t="s">
        <v>1169</v>
      </c>
      <c r="R259" s="29"/>
    </row>
    <row r="260" spans="1:18" ht="17.25" customHeight="1">
      <c r="A260" s="30" t="s">
        <v>241</v>
      </c>
      <c r="B260" s="23" t="str" cm="1">
        <f t="array" ref="B260">_xlfn.TEXTJOIN(", ", TRUE(), _xlfn._xlws.FILTER(Spkrs_Rcrdngs[Speaker],Spkrs_Rcrdngs[Recording]=Rcrdngs[[#This Row],[Text]],"[no speaker selected in Speakers_in_Recordings]"))</f>
        <v>Harran03</v>
      </c>
      <c r="C260" s="41" t="str" cm="1">
        <f t="array" ref="C260">_xlfn.TEXTJOIN(", ", TRUE(), _xlfn._xlws.FILTER(Sbcts_Rcrdngs[Subject],Sbcts_Rcrdngs[Recording]=Rcrdngs[[#This Row],[Text]],"[no subject selected in Subjects_in_Recordings]"))</f>
        <v>Prophet and the Snake</v>
      </c>
      <c r="D260" s="25">
        <v>41969</v>
      </c>
      <c r="E260" s="26" t="s">
        <v>994</v>
      </c>
      <c r="F260" s="27" t="s">
        <v>861</v>
      </c>
      <c r="G260" s="27" t="s">
        <v>605</v>
      </c>
      <c r="H260" s="27"/>
      <c r="I260" s="6"/>
      <c r="J260" s="6"/>
      <c r="K260" s="6"/>
      <c r="L260" s="6"/>
      <c r="M260" s="6"/>
      <c r="N260" s="6"/>
      <c r="O260" s="28" t="s">
        <v>862</v>
      </c>
      <c r="P260" s="34"/>
      <c r="Q260" s="34" t="s">
        <v>1170</v>
      </c>
      <c r="R260" s="29"/>
    </row>
    <row r="261" spans="1:18" ht="17.25" customHeight="1">
      <c r="A261" s="30" t="s">
        <v>242</v>
      </c>
      <c r="B261" s="23" t="str" cm="1">
        <f t="array" ref="B261">_xlfn.TEXTJOIN(", ", TRUE(), _xlfn._xlws.FILTER(Spkrs_Rcrdngs[Speaker],Spkrs_Rcrdngs[Recording]=Rcrdngs[[#This Row],[Text]],"[no speaker selected in Speakers_in_Recordings]"))</f>
        <v>Harran03</v>
      </c>
      <c r="C261" s="41" t="str" cm="1">
        <f t="array" ref="C261">_xlfn.TEXTJOIN(", ", TRUE(), _xlfn._xlws.FILTER(Sbcts_Rcrdngs[Subject],Sbcts_Rcrdngs[Recording]=Rcrdngs[[#This Row],[Text]],"[no subject selected in Subjects_in_Recordings]"))</f>
        <v>Two Brothers</v>
      </c>
      <c r="D261" s="25">
        <v>41969</v>
      </c>
      <c r="E261" s="26" t="s">
        <v>1171</v>
      </c>
      <c r="F261" s="27" t="s">
        <v>861</v>
      </c>
      <c r="G261" s="27" t="s">
        <v>605</v>
      </c>
      <c r="H261" s="27"/>
      <c r="I261" s="6"/>
      <c r="J261" s="6"/>
      <c r="K261" s="6"/>
      <c r="L261" s="6"/>
      <c r="M261" s="6"/>
      <c r="N261" s="6"/>
      <c r="O261" s="28" t="s">
        <v>862</v>
      </c>
      <c r="P261" s="34"/>
      <c r="Q261" s="34" t="s">
        <v>1172</v>
      </c>
      <c r="R261" s="29"/>
    </row>
    <row r="262" spans="1:18" ht="17.25" customHeight="1">
      <c r="A262" s="30" t="s">
        <v>243</v>
      </c>
      <c r="B262" s="23" t="str" cm="1">
        <f t="array" ref="B262">_xlfn.TEXTJOIN(", ", TRUE(), _xlfn._xlws.FILTER(Spkrs_Rcrdngs[Speaker],Spkrs_Rcrdngs[Recording]=Rcrdngs[[#This Row],[Text]],"[no speaker selected in Speakers_in_Recordings]"))</f>
        <v>Harran02</v>
      </c>
      <c r="C262" s="41" t="str" cm="1">
        <f t="array" ref="C262">_xlfn.TEXTJOIN(", ", TRUE(), _xlfn._xlws.FILTER(Sbcts_Rcrdngs[Subject],Sbcts_Rcrdngs[Recording]=Rcrdngs[[#This Row],[Text]],"[no subject selected in Subjects_in_Recordings]"))</f>
        <v xml:space="preserve">The Policeman Who Ate a Holy Carp </v>
      </c>
      <c r="D262" s="25">
        <v>41970</v>
      </c>
      <c r="E262" s="26" t="s">
        <v>1173</v>
      </c>
      <c r="F262" s="27" t="s">
        <v>861</v>
      </c>
      <c r="G262" s="27" t="s">
        <v>605</v>
      </c>
      <c r="H262" s="27" t="s">
        <v>861</v>
      </c>
      <c r="I262" s="6" t="s">
        <v>604</v>
      </c>
      <c r="J262" s="6" t="s">
        <v>861</v>
      </c>
      <c r="K262" s="6" t="s">
        <v>604</v>
      </c>
      <c r="L262" s="6" t="s">
        <v>861</v>
      </c>
      <c r="M262" s="6" t="s">
        <v>604</v>
      </c>
      <c r="N262" s="6"/>
      <c r="O262" s="28" t="s">
        <v>862</v>
      </c>
      <c r="P262" s="34"/>
      <c r="Q262" s="34" t="s">
        <v>1174</v>
      </c>
      <c r="R262" s="29"/>
    </row>
    <row r="263" spans="1:18" ht="17.25" customHeight="1">
      <c r="A263" s="30" t="s">
        <v>244</v>
      </c>
      <c r="B263" s="23" t="str" cm="1">
        <f t="array" ref="B263">_xlfn.TEXTJOIN(", ", TRUE(), _xlfn._xlws.FILTER(Spkrs_Rcrdngs[Speaker],Spkrs_Rcrdngs[Recording]=Rcrdngs[[#This Row],[Text]],"[no speaker selected in Speakers_in_Recordings]"))</f>
        <v>Harran01, Harran02</v>
      </c>
      <c r="C263" s="41" t="str" cm="1">
        <f t="array" ref="C263">_xlfn.TEXTJOIN(", ", TRUE(), _xlfn._xlws.FILTER(Sbcts_Rcrdngs[Subject],Sbcts_Rcrdngs[Recording]=Rcrdngs[[#This Row],[Text]],"[no subject selected in Subjects_in_Recordings]"))</f>
        <v>Gayfe, Against the Evil Eye</v>
      </c>
      <c r="D263" s="25">
        <v>41970</v>
      </c>
      <c r="E263" s="26" t="s">
        <v>1122</v>
      </c>
      <c r="F263" s="27" t="s">
        <v>861</v>
      </c>
      <c r="G263" s="27" t="s">
        <v>605</v>
      </c>
      <c r="H263" s="27" t="s">
        <v>861</v>
      </c>
      <c r="I263" s="6" t="s">
        <v>604</v>
      </c>
      <c r="J263" s="6" t="s">
        <v>861</v>
      </c>
      <c r="K263" s="6" t="s">
        <v>604</v>
      </c>
      <c r="L263" s="6" t="s">
        <v>861</v>
      </c>
      <c r="M263" s="6" t="s">
        <v>604</v>
      </c>
      <c r="N263" s="6"/>
      <c r="O263" s="28" t="s">
        <v>862</v>
      </c>
      <c r="P263" s="34"/>
      <c r="Q263" s="34" t="s">
        <v>1175</v>
      </c>
      <c r="R263" s="29"/>
    </row>
    <row r="264" spans="1:18" ht="17.25" customHeight="1">
      <c r="A264" s="30" t="s">
        <v>245</v>
      </c>
      <c r="B264" s="23" t="str" cm="1">
        <f t="array" ref="B264">_xlfn.TEXTJOIN(", ", TRUE(), _xlfn._xlws.FILTER(Spkrs_Rcrdngs[Speaker],Spkrs_Rcrdngs[Recording]=Rcrdngs[[#This Row],[Text]],"[no speaker selected in Speakers_in_Recordings]"))</f>
        <v>Harran01, Harran02</v>
      </c>
      <c r="C264" s="41" t="str" cm="1">
        <f t="array" ref="C264">_xlfn.TEXTJOIN(", ", TRUE(), _xlfn._xlws.FILTER(Sbcts_Rcrdngs[Subject],Sbcts_Rcrdngs[Recording]=Rcrdngs[[#This Row],[Text]],"[no subject selected in Subjects_in_Recordings]"))</f>
        <v>Sneezing</v>
      </c>
      <c r="D264" s="25">
        <v>42232</v>
      </c>
      <c r="E264" s="26" t="s">
        <v>872</v>
      </c>
      <c r="F264" s="27" t="s">
        <v>861</v>
      </c>
      <c r="G264" s="27" t="s">
        <v>605</v>
      </c>
      <c r="H264" s="27" t="s">
        <v>861</v>
      </c>
      <c r="I264" s="6" t="s">
        <v>604</v>
      </c>
      <c r="J264" s="6" t="s">
        <v>861</v>
      </c>
      <c r="K264" s="6"/>
      <c r="L264" s="6"/>
      <c r="M264" s="6"/>
      <c r="N264" s="6"/>
      <c r="O264" s="28" t="s">
        <v>862</v>
      </c>
      <c r="P264" s="34"/>
      <c r="Q264" s="34" t="s">
        <v>1176</v>
      </c>
      <c r="R264" s="29"/>
    </row>
    <row r="265" spans="1:18" ht="17.25" customHeight="1">
      <c r="A265" s="30" t="s">
        <v>246</v>
      </c>
      <c r="B265" s="23" t="str" cm="1">
        <f t="array" ref="B265">_xlfn.TEXTJOIN(", ", TRUE(), _xlfn._xlws.FILTER(Spkrs_Rcrdngs[Speaker],Spkrs_Rcrdngs[Recording]=Rcrdngs[[#This Row],[Text]],"[no speaker selected in Speakers_in_Recordings]"))</f>
        <v>Harran02</v>
      </c>
      <c r="C265" s="41" t="str" cm="1">
        <f t="array" ref="C265">_xlfn.TEXTJOIN(", ", TRUE(), _xlfn._xlws.FILTER(Sbcts_Rcrdngs[Subject],Sbcts_Rcrdngs[Recording]=Rcrdngs[[#This Row],[Text]],"[no subject selected in Subjects_in_Recordings]"))</f>
        <v>Bidile</v>
      </c>
      <c r="D265" s="25">
        <v>42240</v>
      </c>
      <c r="E265" s="26" t="s">
        <v>1177</v>
      </c>
      <c r="F265" s="27" t="s">
        <v>861</v>
      </c>
      <c r="G265" s="27" t="s">
        <v>605</v>
      </c>
      <c r="H265" s="27" t="s">
        <v>861</v>
      </c>
      <c r="I265" s="6" t="s">
        <v>604</v>
      </c>
      <c r="J265" s="6" t="s">
        <v>861</v>
      </c>
      <c r="K265" s="6" t="s">
        <v>604</v>
      </c>
      <c r="L265" s="6" t="s">
        <v>861</v>
      </c>
      <c r="M265" s="6"/>
      <c r="N265" s="6"/>
      <c r="O265" s="28" t="s">
        <v>862</v>
      </c>
      <c r="P265" s="34"/>
      <c r="Q265" s="34" t="s">
        <v>1178</v>
      </c>
      <c r="R265" s="29"/>
    </row>
    <row r="266" spans="1:18" ht="17.25" customHeight="1">
      <c r="A266" s="30" t="s">
        <v>247</v>
      </c>
      <c r="B266" s="23" t="str" cm="1">
        <f t="array" ref="B266">_xlfn.TEXTJOIN(", ", TRUE(), _xlfn._xlws.FILTER(Spkrs_Rcrdngs[Speaker],Spkrs_Rcrdngs[Recording]=Rcrdngs[[#This Row],[Text]],"[no speaker selected in Speakers_in_Recordings]"))</f>
        <v>Harran01, Harran02</v>
      </c>
      <c r="C266" s="41" t="str" cm="1">
        <f t="array" ref="C266">_xlfn.TEXTJOIN(", ", TRUE(), _xlfn._xlws.FILTER(Sbcts_Rcrdngs[Subject],Sbcts_Rcrdngs[Recording]=Rcrdngs[[#This Row],[Text]],"[no subject selected in Subjects_in_Recordings]"))</f>
        <v>Two women and a Fridge</v>
      </c>
      <c r="D266" s="25">
        <v>42245</v>
      </c>
      <c r="E266" s="26" t="s">
        <v>643</v>
      </c>
      <c r="F266" s="27" t="s">
        <v>861</v>
      </c>
      <c r="G266" s="27" t="s">
        <v>605</v>
      </c>
      <c r="H266" s="27" t="s">
        <v>861</v>
      </c>
      <c r="I266" s="6" t="s">
        <v>604</v>
      </c>
      <c r="J266" s="6" t="s">
        <v>861</v>
      </c>
      <c r="K266" s="6" t="s">
        <v>604</v>
      </c>
      <c r="L266" s="6" t="s">
        <v>861</v>
      </c>
      <c r="M266" s="6" t="s">
        <v>604</v>
      </c>
      <c r="N266" s="6"/>
      <c r="O266" s="28" t="s">
        <v>862</v>
      </c>
      <c r="P266" s="34"/>
      <c r="Q266" s="34" t="s">
        <v>1179</v>
      </c>
      <c r="R266" s="29"/>
    </row>
    <row r="267" spans="1:18" ht="17.25" customHeight="1">
      <c r="A267" s="30" t="s">
        <v>248</v>
      </c>
      <c r="B267" s="23" t="str" cm="1">
        <f t="array" ref="B267">_xlfn.TEXTJOIN(", ", TRUE(), _xlfn._xlws.FILTER(Spkrs_Rcrdngs[Speaker],Spkrs_Rcrdngs[Recording]=Rcrdngs[[#This Row],[Text]],"[no speaker selected in Speakers_in_Recordings]"))</f>
        <v>Harran02</v>
      </c>
      <c r="C267" s="41" t="str" cm="1">
        <f t="array" ref="C267">_xlfn.TEXTJOIN(", ", TRUE(), _xlfn._xlws.FILTER(Sbcts_Rcrdngs[Subject],Sbcts_Rcrdngs[Recording]=Rcrdngs[[#This Row],[Text]],"[no subject selected in Subjects_in_Recordings]"))</f>
        <v>The Shepherd</v>
      </c>
      <c r="D267" s="25">
        <v>42245</v>
      </c>
      <c r="E267" s="26" t="s">
        <v>987</v>
      </c>
      <c r="F267" s="27" t="s">
        <v>861</v>
      </c>
      <c r="G267" s="27" t="s">
        <v>605</v>
      </c>
      <c r="H267" s="27" t="s">
        <v>861</v>
      </c>
      <c r="I267" s="6" t="s">
        <v>604</v>
      </c>
      <c r="J267" s="6" t="s">
        <v>861</v>
      </c>
      <c r="K267" s="6" t="s">
        <v>604</v>
      </c>
      <c r="L267" s="6" t="s">
        <v>861</v>
      </c>
      <c r="M267" s="6" t="s">
        <v>604</v>
      </c>
      <c r="N267" s="6"/>
      <c r="O267" s="28" t="s">
        <v>862</v>
      </c>
      <c r="P267" s="34"/>
      <c r="Q267" s="34" t="s">
        <v>1180</v>
      </c>
      <c r="R267" s="29"/>
    </row>
    <row r="268" spans="1:18" ht="17.25" customHeight="1">
      <c r="A268" s="30" t="s">
        <v>249</v>
      </c>
      <c r="B268" s="23" t="str" cm="1">
        <f t="array" ref="B268">_xlfn.TEXTJOIN(", ", TRUE(), _xlfn._xlws.FILTER(Spkrs_Rcrdngs[Speaker],Spkrs_Rcrdngs[Recording]=Rcrdngs[[#This Row],[Text]],"[no speaker selected in Speakers_in_Recordings]"))</f>
        <v>Harran02</v>
      </c>
      <c r="C268" s="41" t="str" cm="1">
        <f t="array" ref="C268">_xlfn.TEXTJOIN(", ", TRUE(), _xlfn._xlws.FILTER(Sbcts_Rcrdngs[Subject],Sbcts_Rcrdngs[Recording]=Rcrdngs[[#This Row],[Text]],"[no subject selected in Subjects_in_Recordings]"))</f>
        <v>The One Who Wanted To Marry</v>
      </c>
      <c r="D268" s="25">
        <v>42245</v>
      </c>
      <c r="E268" s="26" t="s">
        <v>947</v>
      </c>
      <c r="F268" s="27" t="s">
        <v>861</v>
      </c>
      <c r="G268" s="27" t="s">
        <v>605</v>
      </c>
      <c r="H268" s="27" t="s">
        <v>861</v>
      </c>
      <c r="I268" s="6" t="s">
        <v>604</v>
      </c>
      <c r="J268" s="6" t="s">
        <v>861</v>
      </c>
      <c r="K268" s="6" t="s">
        <v>604</v>
      </c>
      <c r="L268" s="6" t="s">
        <v>861</v>
      </c>
      <c r="M268" s="6" t="s">
        <v>604</v>
      </c>
      <c r="N268" s="6"/>
      <c r="O268" s="28" t="s">
        <v>862</v>
      </c>
      <c r="P268" s="34"/>
      <c r="Q268" s="34" t="s">
        <v>1181</v>
      </c>
      <c r="R268" s="29"/>
    </row>
    <row r="269" spans="1:18" ht="17.25" customHeight="1">
      <c r="A269" s="30" t="s">
        <v>250</v>
      </c>
      <c r="B269" s="23" t="str" cm="1">
        <f t="array" ref="B269">_xlfn.TEXTJOIN(", ", TRUE(), _xlfn._xlws.FILTER(Spkrs_Rcrdngs[Speaker],Spkrs_Rcrdngs[Recording]=Rcrdngs[[#This Row],[Text]],"[no speaker selected in Speakers_in_Recordings]"))</f>
        <v>Harran02</v>
      </c>
      <c r="C269" s="41" t="str" cm="1">
        <f t="array" ref="C269">_xlfn.TEXTJOIN(", ", TRUE(), _xlfn._xlws.FILTER(Sbcts_Rcrdngs[Subject],Sbcts_Rcrdngs[Recording]=Rcrdngs[[#This Row],[Text]],"[no subject selected in Subjects_in_Recordings]"))</f>
        <v>The Ill Blind Mother</v>
      </c>
      <c r="D269" s="25">
        <v>42245</v>
      </c>
      <c r="E269" s="26" t="s">
        <v>1182</v>
      </c>
      <c r="F269" s="27" t="s">
        <v>861</v>
      </c>
      <c r="G269" s="27" t="s">
        <v>605</v>
      </c>
      <c r="H269" s="27" t="s">
        <v>861</v>
      </c>
      <c r="I269" s="6" t="s">
        <v>604</v>
      </c>
      <c r="J269" s="6" t="s">
        <v>861</v>
      </c>
      <c r="K269" s="6" t="s">
        <v>604</v>
      </c>
      <c r="L269" s="6" t="s">
        <v>861</v>
      </c>
      <c r="M269" s="6" t="s">
        <v>604</v>
      </c>
      <c r="N269" s="6"/>
      <c r="O269" s="28" t="s">
        <v>862</v>
      </c>
      <c r="P269" s="34"/>
      <c r="Q269" s="34" t="s">
        <v>1183</v>
      </c>
      <c r="R269" s="29"/>
    </row>
    <row r="270" spans="1:18" ht="17.25" customHeight="1">
      <c r="A270" s="30" t="s">
        <v>251</v>
      </c>
      <c r="B270" s="23" t="str" cm="1">
        <f t="array" ref="B270">_xlfn.TEXTJOIN(", ", TRUE(), _xlfn._xlws.FILTER(Spkrs_Rcrdngs[Speaker],Spkrs_Rcrdngs[Recording]=Rcrdngs[[#This Row],[Text]],"[no speaker selected in Speakers_in_Recordings]"))</f>
        <v>Harran02</v>
      </c>
      <c r="C270" s="41" t="str" cm="1">
        <f t="array" ref="C270">_xlfn.TEXTJOIN(", ", TRUE(), _xlfn._xlws.FILTER(Sbcts_Rcrdngs[Subject],Sbcts_Rcrdngs[Recording]=Rcrdngs[[#This Row],[Text]],"[no subject selected in Subjects_in_Recordings]"))</f>
        <v>The Kurd and the two wives</v>
      </c>
      <c r="D270" s="25">
        <v>42245</v>
      </c>
      <c r="E270" s="26" t="s">
        <v>879</v>
      </c>
      <c r="F270" s="27" t="s">
        <v>861</v>
      </c>
      <c r="G270" s="27" t="s">
        <v>605</v>
      </c>
      <c r="H270" s="27" t="s">
        <v>861</v>
      </c>
      <c r="I270" s="6" t="s">
        <v>604</v>
      </c>
      <c r="J270" s="6" t="s">
        <v>861</v>
      </c>
      <c r="K270" s="6" t="s">
        <v>604</v>
      </c>
      <c r="L270" s="6" t="s">
        <v>861</v>
      </c>
      <c r="M270" s="6" t="s">
        <v>604</v>
      </c>
      <c r="N270" s="6"/>
      <c r="O270" s="28" t="s">
        <v>862</v>
      </c>
      <c r="P270" s="34"/>
      <c r="Q270" s="34" t="s">
        <v>1184</v>
      </c>
      <c r="R270" s="29"/>
    </row>
    <row r="271" spans="1:18" ht="17.25" customHeight="1">
      <c r="A271" s="30" t="s">
        <v>252</v>
      </c>
      <c r="B271" s="23" t="str" cm="1">
        <f t="array" ref="B271">_xlfn.TEXTJOIN(", ", TRUE(), _xlfn._xlws.FILTER(Spkrs_Rcrdngs[Speaker],Spkrs_Rcrdngs[Recording]=Rcrdngs[[#This Row],[Text]],"[no speaker selected in Speakers_in_Recordings]"))</f>
        <v>Harran02</v>
      </c>
      <c r="C271" s="41" t="str" cm="1">
        <f t="array" ref="C271">_xlfn.TEXTJOIN(", ", TRUE(), _xlfn._xlws.FILTER(Sbcts_Rcrdngs[Subject],Sbcts_Rcrdngs[Recording]=Rcrdngs[[#This Row],[Text]],"[no subject selected in Subjects_in_Recordings]"))</f>
        <v>The One Chooses a Horse</v>
      </c>
      <c r="D271" s="25">
        <v>42245</v>
      </c>
      <c r="E271" s="26" t="s">
        <v>1185</v>
      </c>
      <c r="F271" s="27" t="s">
        <v>861</v>
      </c>
      <c r="G271" s="27" t="s">
        <v>605</v>
      </c>
      <c r="H271" s="27" t="s">
        <v>861</v>
      </c>
      <c r="I271" s="6" t="s">
        <v>604</v>
      </c>
      <c r="J271" s="6" t="s">
        <v>861</v>
      </c>
      <c r="K271" s="6" t="s">
        <v>604</v>
      </c>
      <c r="L271" s="6" t="s">
        <v>861</v>
      </c>
      <c r="M271" s="6" t="s">
        <v>604</v>
      </c>
      <c r="N271" s="6"/>
      <c r="O271" s="28" t="s">
        <v>862</v>
      </c>
      <c r="P271" s="34"/>
      <c r="Q271" s="34" t="s">
        <v>1186</v>
      </c>
      <c r="R271" s="29"/>
    </row>
    <row r="272" spans="1:18" ht="17.25" customHeight="1">
      <c r="A272" s="30" t="s">
        <v>253</v>
      </c>
      <c r="B272" s="23" t="str" cm="1">
        <f t="array" ref="B272">_xlfn.TEXTJOIN(", ", TRUE(), _xlfn._xlws.FILTER(Spkrs_Rcrdngs[Speaker],Spkrs_Rcrdngs[Recording]=Rcrdngs[[#This Row],[Text]],"[no speaker selected in Speakers_in_Recordings]"))</f>
        <v>Harran02</v>
      </c>
      <c r="C272" s="41" t="str" cm="1">
        <f t="array" ref="C272">_xlfn.TEXTJOIN(", ", TRUE(), _xlfn._xlws.FILTER(Sbcts_Rcrdngs[Subject],Sbcts_Rcrdngs[Recording]=Rcrdngs[[#This Row],[Text]],"[no subject selected in Subjects_in_Recordings]"))</f>
        <v>Priapism</v>
      </c>
      <c r="D272" s="25">
        <v>42245</v>
      </c>
      <c r="E272" s="26" t="s">
        <v>889</v>
      </c>
      <c r="F272" s="27" t="s">
        <v>861</v>
      </c>
      <c r="G272" s="27" t="s">
        <v>605</v>
      </c>
      <c r="H272" s="27" t="s">
        <v>861</v>
      </c>
      <c r="I272" s="6" t="s">
        <v>604</v>
      </c>
      <c r="J272" s="6" t="s">
        <v>861</v>
      </c>
      <c r="K272" s="6" t="s">
        <v>604</v>
      </c>
      <c r="L272" s="6" t="s">
        <v>861</v>
      </c>
      <c r="M272" s="6" t="s">
        <v>604</v>
      </c>
      <c r="N272" s="6"/>
      <c r="O272" s="28" t="s">
        <v>862</v>
      </c>
      <c r="P272" s="34"/>
      <c r="Q272" s="34" t="s">
        <v>1187</v>
      </c>
      <c r="R272" s="29"/>
    </row>
    <row r="273" spans="1:18" ht="17.25" customHeight="1">
      <c r="A273" s="30" t="s">
        <v>254</v>
      </c>
      <c r="B273" s="23" t="str" cm="1">
        <f t="array" ref="B273">_xlfn.TEXTJOIN(", ", TRUE(), _xlfn._xlws.FILTER(Spkrs_Rcrdngs[Speaker],Spkrs_Rcrdngs[Recording]=Rcrdngs[[#This Row],[Text]],"[no speaker selected in Speakers_in_Recordings]"))</f>
        <v>Harran02</v>
      </c>
      <c r="C273" s="41" t="str" cm="1">
        <f t="array" ref="C273">_xlfn.TEXTJOIN(", ", TRUE(), _xlfn._xlws.FILTER(Sbcts_Rcrdngs[Subject],Sbcts_Rcrdngs[Recording]=Rcrdngs[[#This Row],[Text]],"[no subject selected in Subjects_in_Recordings]"))</f>
        <v>Afraid of the Dog</v>
      </c>
      <c r="D273" s="25">
        <v>42959</v>
      </c>
      <c r="E273" s="26" t="s">
        <v>1188</v>
      </c>
      <c r="F273" s="27" t="s">
        <v>861</v>
      </c>
      <c r="G273" s="27" t="s">
        <v>605</v>
      </c>
      <c r="H273" s="27" t="s">
        <v>861</v>
      </c>
      <c r="I273" s="6" t="s">
        <v>604</v>
      </c>
      <c r="J273" s="6" t="s">
        <v>861</v>
      </c>
      <c r="K273" s="6" t="s">
        <v>604</v>
      </c>
      <c r="L273" s="6" t="s">
        <v>861</v>
      </c>
      <c r="M273" s="6" t="s">
        <v>604</v>
      </c>
      <c r="N273" s="6"/>
      <c r="O273" s="28" t="s">
        <v>862</v>
      </c>
      <c r="P273" s="34"/>
      <c r="Q273" s="34" t="s">
        <v>1189</v>
      </c>
      <c r="R273" s="29"/>
    </row>
    <row r="274" spans="1:18" ht="17.25" customHeight="1">
      <c r="A274" s="30" t="s">
        <v>255</v>
      </c>
      <c r="B274" s="23" t="str" cm="1">
        <f t="array" ref="B274">_xlfn.TEXTJOIN(", ", TRUE(), _xlfn._xlws.FILTER(Spkrs_Rcrdngs[Speaker],Spkrs_Rcrdngs[Recording]=Rcrdngs[[#This Row],[Text]],"[no speaker selected in Speakers_in_Recordings]"))</f>
        <v>Harran02</v>
      </c>
      <c r="C274" s="41" t="str" cm="1">
        <f t="array" ref="C274">_xlfn.TEXTJOIN(", ", TRUE(), _xlfn._xlws.FILTER(Sbcts_Rcrdngs[Subject],Sbcts_Rcrdngs[Recording]=Rcrdngs[[#This Row],[Text]],"[no subject selected in Subjects_in_Recordings]"))</f>
        <v>Sheep</v>
      </c>
      <c r="D274" s="25">
        <v>42959</v>
      </c>
      <c r="E274" s="26" t="s">
        <v>1190</v>
      </c>
      <c r="F274" s="27" t="s">
        <v>861</v>
      </c>
      <c r="G274" s="27" t="s">
        <v>605</v>
      </c>
      <c r="H274" s="27" t="s">
        <v>861</v>
      </c>
      <c r="I274" s="6" t="s">
        <v>604</v>
      </c>
      <c r="J274" s="6" t="s">
        <v>861</v>
      </c>
      <c r="K274" s="6" t="s">
        <v>604</v>
      </c>
      <c r="L274" s="6" t="s">
        <v>861</v>
      </c>
      <c r="M274" s="6" t="s">
        <v>604</v>
      </c>
      <c r="N274" s="6"/>
      <c r="O274" s="28" t="s">
        <v>862</v>
      </c>
      <c r="P274" s="34"/>
      <c r="Q274" s="34" t="s">
        <v>1191</v>
      </c>
      <c r="R274" s="29"/>
    </row>
    <row r="275" spans="1:18" ht="17.25" customHeight="1">
      <c r="A275" s="30" t="s">
        <v>256</v>
      </c>
      <c r="B275" s="23" t="str" cm="1">
        <f t="array" ref="B275">_xlfn.TEXTJOIN(", ", TRUE(), _xlfn._xlws.FILTER(Spkrs_Rcrdngs[Speaker],Spkrs_Rcrdngs[Recording]=Rcrdngs[[#This Row],[Text]],"[no speaker selected in Speakers_in_Recordings]"))</f>
        <v>Harran02</v>
      </c>
      <c r="C275" s="41" t="str" cm="1">
        <f t="array" ref="C275">_xlfn.TEXTJOIN(", ", TRUE(), _xlfn._xlws.FILTER(Sbcts_Rcrdngs[Subject],Sbcts_Rcrdngs[Recording]=Rcrdngs[[#This Row],[Text]],"[no subject selected in Subjects_in_Recordings]"))</f>
        <v>Two Husbands</v>
      </c>
      <c r="D275" s="25">
        <v>42959</v>
      </c>
      <c r="E275" s="26" t="s">
        <v>1192</v>
      </c>
      <c r="F275" s="27" t="s">
        <v>861</v>
      </c>
      <c r="G275" s="27" t="s">
        <v>605</v>
      </c>
      <c r="H275" s="27" t="s">
        <v>861</v>
      </c>
      <c r="I275" s="6" t="s">
        <v>604</v>
      </c>
      <c r="J275" s="6" t="s">
        <v>861</v>
      </c>
      <c r="K275" s="6"/>
      <c r="L275" s="6"/>
      <c r="M275" s="6"/>
      <c r="N275" s="6"/>
      <c r="O275" s="28" t="s">
        <v>862</v>
      </c>
      <c r="P275" s="34"/>
      <c r="Q275" s="34" t="s">
        <v>1193</v>
      </c>
      <c r="R275" s="29"/>
    </row>
    <row r="276" spans="1:18" ht="17.25" customHeight="1">
      <c r="A276" s="30" t="s">
        <v>257</v>
      </c>
      <c r="B276" s="23" t="str" cm="1">
        <f t="array" ref="B276">_xlfn.TEXTJOIN(", ", TRUE(), _xlfn._xlws.FILTER(Spkrs_Rcrdngs[Speaker],Spkrs_Rcrdngs[Recording]=Rcrdngs[[#This Row],[Text]],"[no speaker selected in Speakers_in_Recordings]"))</f>
        <v>Harran01, Harran02</v>
      </c>
      <c r="C276" s="41" t="str" cm="1">
        <f t="array" ref="C276">_xlfn.TEXTJOIN(", ", TRUE(), _xlfn._xlws.FILTER(Sbcts_Rcrdngs[Subject],Sbcts_Rcrdngs[Recording]=Rcrdngs[[#This Row],[Text]],"[no subject selected in Subjects_in_Recordings]"))</f>
        <v>Chicken</v>
      </c>
      <c r="D276" s="25">
        <v>42959</v>
      </c>
      <c r="E276" s="26" t="s">
        <v>1188</v>
      </c>
      <c r="F276" s="27" t="s">
        <v>861</v>
      </c>
      <c r="G276" s="27" t="s">
        <v>605</v>
      </c>
      <c r="H276" s="27" t="s">
        <v>861</v>
      </c>
      <c r="I276" s="6" t="s">
        <v>604</v>
      </c>
      <c r="J276" s="6" t="s">
        <v>861</v>
      </c>
      <c r="K276" s="6"/>
      <c r="L276" s="6"/>
      <c r="M276" s="6"/>
      <c r="N276" s="6"/>
      <c r="O276" s="28" t="s">
        <v>862</v>
      </c>
      <c r="P276" s="34"/>
      <c r="Q276" s="34" t="s">
        <v>1194</v>
      </c>
      <c r="R276" s="29"/>
    </row>
    <row r="277" spans="1:18" ht="17.25" customHeight="1">
      <c r="A277" s="30" t="s">
        <v>258</v>
      </c>
      <c r="B277" s="23" t="str" cm="1">
        <f t="array" ref="B277">_xlfn.TEXTJOIN(", ", TRUE(), _xlfn._xlws.FILTER(Spkrs_Rcrdngs[Speaker],Spkrs_Rcrdngs[Recording]=Rcrdngs[[#This Row],[Text]],"[no speaker selected in Speakers_in_Recordings]"))</f>
        <v>Harran01, Harran02</v>
      </c>
      <c r="C277" s="41" t="str" cm="1">
        <f t="array" ref="C277">_xlfn.TEXTJOIN(", ", TRUE(), _xlfn._xlws.FILTER(Sbcts_Rcrdngs[Subject],Sbcts_Rcrdngs[Recording]=Rcrdngs[[#This Row],[Text]],"[no subject selected in Subjects_in_Recordings]"))</f>
        <v>Eid Al-Adha</v>
      </c>
      <c r="D277" s="25">
        <v>42959</v>
      </c>
      <c r="E277" s="26" t="s">
        <v>1195</v>
      </c>
      <c r="F277" s="27" t="s">
        <v>861</v>
      </c>
      <c r="G277" s="27" t="s">
        <v>605</v>
      </c>
      <c r="H277" s="27" t="s">
        <v>861</v>
      </c>
      <c r="I277" s="6" t="s">
        <v>604</v>
      </c>
      <c r="J277" s="6" t="s">
        <v>861</v>
      </c>
      <c r="K277" s="6"/>
      <c r="L277" s="6"/>
      <c r="M277" s="6"/>
      <c r="N277" s="6"/>
      <c r="O277" s="28" t="s">
        <v>862</v>
      </c>
      <c r="P277" s="34"/>
      <c r="Q277" s="34" t="s">
        <v>1196</v>
      </c>
      <c r="R277" s="29"/>
    </row>
    <row r="278" spans="1:18" ht="17.25" customHeight="1">
      <c r="A278" s="30" t="s">
        <v>259</v>
      </c>
      <c r="B278" s="23" t="str" cm="1">
        <f t="array" ref="B278">_xlfn.TEXTJOIN(", ", TRUE(), _xlfn._xlws.FILTER(Spkrs_Rcrdngs[Speaker],Spkrs_Rcrdngs[Recording]=Rcrdngs[[#This Row],[Text]],"[no speaker selected in Speakers_in_Recordings]"))</f>
        <v>Harran01, Harran02</v>
      </c>
      <c r="C278" s="24" t="str" cm="1">
        <f t="array" ref="C278">_xlfn.TEXTJOIN(", ", TRUE(), _xlfn._xlws.FILTER(Sbcts_Rcrdngs[Subject],Sbcts_Rcrdngs[Recording]=Rcrdngs[[#This Row],[Text]],"[no subject selected in Subjects_in_Recordings]"))</f>
        <v>Tee</v>
      </c>
      <c r="D278" s="25">
        <v>42960</v>
      </c>
      <c r="E278" s="26" t="s">
        <v>1177</v>
      </c>
      <c r="F278" s="27" t="s">
        <v>861</v>
      </c>
      <c r="G278" s="27" t="s">
        <v>605</v>
      </c>
      <c r="H278" s="27"/>
      <c r="I278" s="6"/>
      <c r="J278" s="6"/>
      <c r="K278" s="6"/>
      <c r="L278" s="6"/>
      <c r="M278" s="6"/>
      <c r="N278" s="6"/>
      <c r="O278" s="28" t="s">
        <v>862</v>
      </c>
      <c r="P278" s="34"/>
      <c r="Q278" s="28" t="s">
        <v>1197</v>
      </c>
      <c r="R278" s="29"/>
    </row>
    <row r="279" spans="1:18" ht="17.25" customHeight="1">
      <c r="A279" s="30" t="s">
        <v>260</v>
      </c>
      <c r="B279" s="23" t="str" cm="1">
        <f t="array" ref="B279">_xlfn.TEXTJOIN(", ", TRUE(), _xlfn._xlws.FILTER(Spkrs_Rcrdngs[Speaker],Spkrs_Rcrdngs[Recording]=Rcrdngs[[#This Row],[Text]],"[no speaker selected in Speakers_in_Recordings]"))</f>
        <v>Harran01, Harran02</v>
      </c>
      <c r="C279" s="41" t="str" cm="1">
        <f t="array" ref="C279">_xlfn.TEXTJOIN(", ", TRUE(), _xlfn._xlws.FILTER(Sbcts_Rcrdngs[Subject],Sbcts_Rcrdngs[Recording]=Rcrdngs[[#This Row],[Text]],"[no subject selected in Subjects_in_Recordings]"))</f>
        <v>Burying , Grandfather</v>
      </c>
      <c r="D279" s="25">
        <v>42961</v>
      </c>
      <c r="E279" s="26" t="s">
        <v>1198</v>
      </c>
      <c r="F279" s="27" t="s">
        <v>861</v>
      </c>
      <c r="G279" s="27" t="s">
        <v>605</v>
      </c>
      <c r="H279" s="27" t="s">
        <v>861</v>
      </c>
      <c r="I279" s="6" t="s">
        <v>604</v>
      </c>
      <c r="J279" s="6" t="s">
        <v>861</v>
      </c>
      <c r="K279" s="6" t="s">
        <v>604</v>
      </c>
      <c r="L279" s="6"/>
      <c r="M279" s="6"/>
      <c r="N279" s="6"/>
      <c r="O279" s="28" t="s">
        <v>862</v>
      </c>
      <c r="P279" s="34"/>
      <c r="Q279" s="34" t="s">
        <v>1199</v>
      </c>
      <c r="R279" s="29"/>
    </row>
    <row r="280" spans="1:18" ht="17.25" customHeight="1">
      <c r="A280" s="30" t="s">
        <v>261</v>
      </c>
      <c r="B280" s="23" t="str" cm="1">
        <f t="array" ref="B280">_xlfn.TEXTJOIN(", ", TRUE(), _xlfn._xlws.FILTER(Spkrs_Rcrdngs[Speaker],Spkrs_Rcrdngs[Recording]=Rcrdngs[[#This Row],[Text]],"[no speaker selected in Speakers_in_Recordings]"))</f>
        <v>Harran01, Harran02</v>
      </c>
      <c r="C280" s="41" t="str" cm="1">
        <f t="array" ref="C280">_xlfn.TEXTJOIN(", ", TRUE(), _xlfn._xlws.FILTER(Sbcts_Rcrdngs[Subject],Sbcts_Rcrdngs[Recording]=Rcrdngs[[#This Row],[Text]],"[no subject selected in Subjects_in_Recordings]"))</f>
        <v>Cig kofte</v>
      </c>
      <c r="D280" s="25">
        <v>42964</v>
      </c>
      <c r="E280" s="26" t="s">
        <v>1200</v>
      </c>
      <c r="F280" s="27" t="s">
        <v>861</v>
      </c>
      <c r="G280" s="27" t="s">
        <v>605</v>
      </c>
      <c r="H280" s="27" t="s">
        <v>861</v>
      </c>
      <c r="I280" s="6" t="s">
        <v>604</v>
      </c>
      <c r="J280" s="6" t="s">
        <v>861</v>
      </c>
      <c r="K280" s="6" t="s">
        <v>604</v>
      </c>
      <c r="L280" s="6" t="s">
        <v>861</v>
      </c>
      <c r="M280" s="6" t="s">
        <v>604</v>
      </c>
      <c r="N280" s="6"/>
      <c r="O280" s="28" t="s">
        <v>862</v>
      </c>
      <c r="P280" s="34"/>
      <c r="Q280" s="34" t="s">
        <v>1201</v>
      </c>
      <c r="R280" s="29"/>
    </row>
    <row r="281" spans="1:18" ht="17.25" customHeight="1">
      <c r="A281" s="30" t="s">
        <v>262</v>
      </c>
      <c r="B281" s="23" t="str" cm="1">
        <f t="array" ref="B281">_xlfn.TEXTJOIN(", ", TRUE(), _xlfn._xlws.FILTER(Spkrs_Rcrdngs[Speaker],Spkrs_Rcrdngs[Recording]=Rcrdngs[[#This Row],[Text]],"[no speaker selected in Speakers_in_Recordings]"))</f>
        <v>Harran04</v>
      </c>
      <c r="C281" s="41" t="str" cm="1">
        <f t="array" ref="C281">_xlfn.TEXTJOIN(", ", TRUE(), _xlfn._xlws.FILTER(Sbcts_Rcrdngs[Subject],Sbcts_Rcrdngs[Recording]=Rcrdngs[[#This Row],[Text]],"[no subject selected in Subjects_in_Recordings]"))</f>
        <v>Al-Shukwa</v>
      </c>
      <c r="D281" s="25">
        <v>42966</v>
      </c>
      <c r="E281" s="26" t="s">
        <v>872</v>
      </c>
      <c r="F281" s="27" t="s">
        <v>1202</v>
      </c>
      <c r="G281" s="27" t="s">
        <v>605</v>
      </c>
      <c r="H281" s="27" t="s">
        <v>861</v>
      </c>
      <c r="I281" s="6" t="s">
        <v>604</v>
      </c>
      <c r="J281" s="6" t="s">
        <v>861</v>
      </c>
      <c r="K281" s="6" t="s">
        <v>604</v>
      </c>
      <c r="L281" s="6" t="s">
        <v>861</v>
      </c>
      <c r="M281" s="6" t="s">
        <v>604</v>
      </c>
      <c r="N281" s="6"/>
      <c r="O281" s="28" t="s">
        <v>862</v>
      </c>
      <c r="P281" s="34"/>
      <c r="Q281" s="34" t="s">
        <v>1203</v>
      </c>
      <c r="R281" s="29"/>
    </row>
    <row r="282" spans="1:18" ht="17.25" customHeight="1">
      <c r="A282" s="30" t="s">
        <v>263</v>
      </c>
      <c r="B282" s="23" t="str" cm="1">
        <f t="array" ref="B282">_xlfn.TEXTJOIN(", ", TRUE(), _xlfn._xlws.FILTER(Spkrs_Rcrdngs[Speaker],Spkrs_Rcrdngs[Recording]=Rcrdngs[[#This Row],[Text]],"[no speaker selected in Speakers_in_Recordings]"))</f>
        <v>Harran04</v>
      </c>
      <c r="C282" s="41" t="str" cm="1">
        <f t="array" ref="C282">_xlfn.TEXTJOIN(", ", TRUE(), _xlfn._xlws.FILTER(Sbcts_Rcrdngs[Subject],Sbcts_Rcrdngs[Recording]=Rcrdngs[[#This Row],[Text]],"[no subject selected in Subjects_in_Recordings]"))</f>
        <v>Tattooing</v>
      </c>
      <c r="D282" s="25">
        <v>42966</v>
      </c>
      <c r="E282" s="26" t="s">
        <v>1204</v>
      </c>
      <c r="F282" s="27" t="s">
        <v>1202</v>
      </c>
      <c r="G282" s="27" t="s">
        <v>605</v>
      </c>
      <c r="H282" s="27" t="s">
        <v>861</v>
      </c>
      <c r="I282" s="6" t="s">
        <v>604</v>
      </c>
      <c r="J282" s="6" t="s">
        <v>861</v>
      </c>
      <c r="K282" s="6" t="s">
        <v>604</v>
      </c>
      <c r="L282" s="6" t="s">
        <v>861</v>
      </c>
      <c r="M282" s="6" t="s">
        <v>604</v>
      </c>
      <c r="N282" s="6"/>
      <c r="O282" s="28" t="s">
        <v>862</v>
      </c>
      <c r="P282" s="34"/>
      <c r="Q282" s="34" t="s">
        <v>1205</v>
      </c>
      <c r="R282" s="29"/>
    </row>
    <row r="283" spans="1:18" ht="17.25" customHeight="1">
      <c r="A283" s="30" t="s">
        <v>264</v>
      </c>
      <c r="B283" s="23" t="str" cm="1">
        <f t="array" ref="B283">_xlfn.TEXTJOIN(", ", TRUE(), _xlfn._xlws.FILTER(Spkrs_Rcrdngs[Speaker],Spkrs_Rcrdngs[Recording]=Rcrdngs[[#This Row],[Text]],"[no speaker selected in Speakers_in_Recordings]"))</f>
        <v>Harran04, Harran03</v>
      </c>
      <c r="C283" s="41" t="str" cm="1">
        <f t="array" ref="C283">_xlfn.TEXTJOIN(", ", TRUE(), _xlfn._xlws.FILTER(Sbcts_Rcrdngs[Subject],Sbcts_Rcrdngs[Recording]=Rcrdngs[[#This Row],[Text]],"[no subject selected in Subjects_in_Recordings]"))</f>
        <v>Water Hose</v>
      </c>
      <c r="D283" s="25">
        <v>42966</v>
      </c>
      <c r="E283" s="26" t="s">
        <v>1206</v>
      </c>
      <c r="F283" s="27" t="s">
        <v>1202</v>
      </c>
      <c r="G283" s="27" t="s">
        <v>605</v>
      </c>
      <c r="H283" s="27" t="s">
        <v>861</v>
      </c>
      <c r="I283" s="6" t="s">
        <v>604</v>
      </c>
      <c r="J283" s="6" t="s">
        <v>861</v>
      </c>
      <c r="K283" s="6"/>
      <c r="L283" s="6"/>
      <c r="M283" s="6"/>
      <c r="N283" s="6"/>
      <c r="O283" s="28" t="s">
        <v>862</v>
      </c>
      <c r="P283" s="34"/>
      <c r="Q283" s="34" t="s">
        <v>1207</v>
      </c>
      <c r="R283" s="29"/>
    </row>
    <row r="284" spans="1:18" ht="17.25" customHeight="1">
      <c r="A284" s="30" t="s">
        <v>265</v>
      </c>
      <c r="B284" s="23" t="str" cm="1">
        <f t="array" ref="B284">_xlfn.TEXTJOIN(", ", TRUE(), _xlfn._xlws.FILTER(Spkrs_Rcrdngs[Speaker],Spkrs_Rcrdngs[Recording]=Rcrdngs[[#This Row],[Text]],"[no speaker selected in Speakers_in_Recordings]"))</f>
        <v>Harran04, Harran03</v>
      </c>
      <c r="C284" s="41" t="str" cm="1">
        <f t="array" ref="C284">_xlfn.TEXTJOIN(", ", TRUE(), _xlfn._xlws.FILTER(Sbcts_Rcrdngs[Subject],Sbcts_Rcrdngs[Recording]=Rcrdngs[[#This Row],[Text]],"[no subject selected in Subjects_in_Recordings]"))</f>
        <v>Second Marriage</v>
      </c>
      <c r="D284" s="25">
        <v>42968</v>
      </c>
      <c r="E284" s="26" t="s">
        <v>1208</v>
      </c>
      <c r="F284" s="27" t="s">
        <v>1202</v>
      </c>
      <c r="G284" s="27" t="s">
        <v>605</v>
      </c>
      <c r="H284" s="27" t="s">
        <v>861</v>
      </c>
      <c r="I284" s="6" t="s">
        <v>604</v>
      </c>
      <c r="J284" s="6" t="s">
        <v>861</v>
      </c>
      <c r="K284" s="6"/>
      <c r="L284" s="6"/>
      <c r="M284" s="6"/>
      <c r="N284" s="6"/>
      <c r="O284" s="28" t="s">
        <v>862</v>
      </c>
      <c r="P284" s="34"/>
      <c r="Q284" s="34" t="s">
        <v>1209</v>
      </c>
      <c r="R284" s="29"/>
    </row>
    <row r="285" spans="1:18" ht="17.25" customHeight="1">
      <c r="A285" s="30" t="s">
        <v>266</v>
      </c>
      <c r="B285" s="23" t="str" cm="1">
        <f t="array" ref="B285">_xlfn.TEXTJOIN(", ", TRUE(), _xlfn._xlws.FILTER(Spkrs_Rcrdngs[Speaker],Spkrs_Rcrdngs[Recording]=Rcrdngs[[#This Row],[Text]],"[no speaker selected in Speakers_in_Recordings]"))</f>
        <v>Harran04, Harran03</v>
      </c>
      <c r="C285" s="41" t="str" cm="1">
        <f t="array" ref="C285">_xlfn.TEXTJOIN(", ", TRUE(), _xlfn._xlws.FILTER(Sbcts_Rcrdngs[Subject],Sbcts_Rcrdngs[Recording]=Rcrdngs[[#This Row],[Text]],"[no subject selected in Subjects_in_Recordings]"))</f>
        <v>Agriculture, Former Times</v>
      </c>
      <c r="D285" s="25">
        <v>42970</v>
      </c>
      <c r="E285" s="26" t="s">
        <v>1210</v>
      </c>
      <c r="F285" s="27" t="s">
        <v>1202</v>
      </c>
      <c r="G285" s="27" t="s">
        <v>605</v>
      </c>
      <c r="H285" s="27" t="s">
        <v>861</v>
      </c>
      <c r="I285" s="6" t="s">
        <v>604</v>
      </c>
      <c r="J285" s="6" t="s">
        <v>861</v>
      </c>
      <c r="K285" s="6"/>
      <c r="L285" s="6"/>
      <c r="M285" s="6"/>
      <c r="N285" s="6"/>
      <c r="O285" s="28" t="s">
        <v>862</v>
      </c>
      <c r="P285" s="34"/>
      <c r="Q285" s="34" t="s">
        <v>1211</v>
      </c>
      <c r="R285" s="29"/>
    </row>
    <row r="286" spans="1:18" ht="17.25" customHeight="1">
      <c r="A286" s="30" t="s">
        <v>267</v>
      </c>
      <c r="B286" s="23" t="str" cm="1">
        <f t="array" ref="B286">_xlfn.TEXTJOIN(", ", TRUE(), _xlfn._xlws.FILTER(Spkrs_Rcrdngs[Speaker],Spkrs_Rcrdngs[Recording]=Rcrdngs[[#This Row],[Text]],"[no speaker selected in Speakers_in_Recordings]"))</f>
        <v>Harran04, Harran03</v>
      </c>
      <c r="C286" s="41" t="str" cm="1">
        <f t="array" ref="C286">_xlfn.TEXTJOIN(", ", TRUE(), _xlfn._xlws.FILTER(Sbcts_Rcrdngs[Subject],Sbcts_Rcrdngs[Recording]=Rcrdngs[[#This Row],[Text]],"[no subject selected in Subjects_in_Recordings]"))</f>
        <v>Wedding</v>
      </c>
      <c r="D286" s="25">
        <v>42970</v>
      </c>
      <c r="E286" s="26" t="s">
        <v>1212</v>
      </c>
      <c r="F286" s="27" t="s">
        <v>1202</v>
      </c>
      <c r="G286" s="27" t="s">
        <v>605</v>
      </c>
      <c r="H286" s="27" t="s">
        <v>861</v>
      </c>
      <c r="I286" s="6" t="s">
        <v>604</v>
      </c>
      <c r="J286" s="6" t="s">
        <v>861</v>
      </c>
      <c r="K286" s="6"/>
      <c r="L286" s="6"/>
      <c r="M286" s="6"/>
      <c r="N286" s="6"/>
      <c r="O286" s="28" t="s">
        <v>862</v>
      </c>
      <c r="P286" s="34"/>
      <c r="Q286" s="34" t="s">
        <v>1213</v>
      </c>
      <c r="R286" s="29"/>
    </row>
    <row r="287" spans="1:18" ht="17.25" customHeight="1">
      <c r="A287" s="35" t="s">
        <v>268</v>
      </c>
      <c r="B287" s="23" t="str" cm="1">
        <f t="array" ref="B287">_xlfn.TEXTJOIN(", ", TRUE(), _xlfn._xlws.FILTER(Spkrs_Rcrdngs[Speaker],Spkrs_Rcrdngs[Recording]=Rcrdngs[[#This Row],[Text]],"[no speaker selected in Speakers_in_Recordings]"))</f>
        <v>Harran04, Harran03</v>
      </c>
      <c r="C287" s="24" t="str" cm="1">
        <f t="array" ref="C287">_xlfn.TEXTJOIN(", ", TRUE(), _xlfn._xlws.FILTER(Sbcts_Rcrdngs[Subject],Sbcts_Rcrdngs[Recording]=Rcrdngs[[#This Row],[Text]],"[no subject selected in Subjects_in_Recordings]"))</f>
        <v>Death</v>
      </c>
      <c r="D287" s="25">
        <v>42970</v>
      </c>
      <c r="E287" s="26" t="s">
        <v>1212</v>
      </c>
      <c r="F287" s="27" t="s">
        <v>1202</v>
      </c>
      <c r="G287" s="27" t="s">
        <v>605</v>
      </c>
      <c r="H287" s="27" t="s">
        <v>861</v>
      </c>
      <c r="I287" s="6" t="s">
        <v>604</v>
      </c>
      <c r="J287" s="6" t="s">
        <v>861</v>
      </c>
      <c r="K287" s="6"/>
      <c r="L287" s="6"/>
      <c r="M287" s="6"/>
      <c r="N287" s="6"/>
      <c r="O287" s="28" t="s">
        <v>862</v>
      </c>
      <c r="P287" s="34"/>
      <c r="Q287" s="28" t="s">
        <v>1213</v>
      </c>
      <c r="R287" s="29"/>
    </row>
    <row r="288" spans="1:18" ht="17.25" customHeight="1">
      <c r="A288" s="30" t="s">
        <v>269</v>
      </c>
      <c r="B288" s="23" t="str" cm="1">
        <f t="array" ref="B288">_xlfn.TEXTJOIN(", ", TRUE(), _xlfn._xlws.FILTER(Spkrs_Rcrdngs[Speaker],Spkrs_Rcrdngs[Recording]=Rcrdngs[[#This Row],[Text]],"[no speaker selected in Speakers_in_Recordings]"))</f>
        <v>Harran01, Harran02</v>
      </c>
      <c r="C288" s="41" t="str" cm="1">
        <f t="array" ref="C288">_xlfn.TEXTJOIN(", ", TRUE(), _xlfn._xlws.FILTER(Sbcts_Rcrdngs[Subject],Sbcts_Rcrdngs[Recording]=Rcrdngs[[#This Row],[Text]],"[no subject selected in Subjects_in_Recordings]"))</f>
        <v>Beating Up Syrians</v>
      </c>
      <c r="D288" s="25">
        <v>43427</v>
      </c>
      <c r="E288" s="26" t="s">
        <v>1156</v>
      </c>
      <c r="F288" s="27" t="s">
        <v>861</v>
      </c>
      <c r="G288" s="27" t="s">
        <v>605</v>
      </c>
      <c r="H288" s="27"/>
      <c r="I288" s="6"/>
      <c r="J288" s="6"/>
      <c r="K288" s="6"/>
      <c r="L288" s="6"/>
      <c r="M288" s="6"/>
      <c r="N288" s="6"/>
      <c r="O288" s="28" t="s">
        <v>862</v>
      </c>
      <c r="P288" s="34"/>
      <c r="Q288" s="34" t="s">
        <v>1214</v>
      </c>
      <c r="R288" s="29"/>
    </row>
    <row r="289" spans="1:18" ht="17.25" customHeight="1">
      <c r="A289" s="30" t="s">
        <v>270</v>
      </c>
      <c r="B289" s="23" t="str" cm="1">
        <f t="array" ref="B289">_xlfn.TEXTJOIN(", ", TRUE(), _xlfn._xlws.FILTER(Spkrs_Rcrdngs[Speaker],Spkrs_Rcrdngs[Recording]=Rcrdngs[[#This Row],[Text]],"[no speaker selected in Speakers_in_Recordings]"))</f>
        <v>Harran01, Harran03</v>
      </c>
      <c r="C289" s="24" t="str" cm="1">
        <f t="array" ref="C289">_xlfn.TEXTJOIN(", ", TRUE(), _xlfn._xlws.FILTER(Sbcts_Rcrdngs[Subject],Sbcts_Rcrdngs[Recording]=Rcrdngs[[#This Row],[Text]],"[no subject selected in Subjects_in_Recordings]"))</f>
        <v>Personal Life</v>
      </c>
      <c r="D289" s="25">
        <v>43427</v>
      </c>
      <c r="E289" s="26" t="s">
        <v>1215</v>
      </c>
      <c r="F289" s="27" t="s">
        <v>861</v>
      </c>
      <c r="G289" s="27" t="s">
        <v>605</v>
      </c>
      <c r="H289" s="27"/>
      <c r="I289" s="6"/>
      <c r="J289" s="6"/>
      <c r="K289" s="6"/>
      <c r="L289" s="6"/>
      <c r="M289" s="6"/>
      <c r="N289" s="6"/>
      <c r="O289" s="28" t="s">
        <v>862</v>
      </c>
      <c r="P289" s="34"/>
      <c r="Q289" s="28" t="s">
        <v>1216</v>
      </c>
      <c r="R289" s="29"/>
    </row>
    <row r="290" spans="1:18" ht="17.25" customHeight="1">
      <c r="A290" s="30" t="s">
        <v>271</v>
      </c>
      <c r="B290" s="23" t="str" cm="1">
        <f t="array" ref="B290">_xlfn.TEXTJOIN(", ", TRUE(), _xlfn._xlws.FILTER(Spkrs_Rcrdngs[Speaker],Spkrs_Rcrdngs[Recording]=Rcrdngs[[#This Row],[Text]],"[no speaker selected in Speakers_in_Recordings]"))</f>
        <v>Harran01, Harran03</v>
      </c>
      <c r="C290" s="41" t="str" cm="1">
        <f t="array" ref="C290">_xlfn.TEXTJOIN(", ", TRUE(), _xlfn._xlws.FILTER(Sbcts_Rcrdngs[Subject],Sbcts_Rcrdngs[Recording]=Rcrdngs[[#This Row],[Text]],"[no subject selected in Subjects_in_Recordings]"))</f>
        <v>Personal Life</v>
      </c>
      <c r="D290" s="25">
        <v>43427</v>
      </c>
      <c r="E290" s="26" t="s">
        <v>1217</v>
      </c>
      <c r="F290" s="27" t="s">
        <v>861</v>
      </c>
      <c r="G290" s="27" t="s">
        <v>605</v>
      </c>
      <c r="H290" s="27"/>
      <c r="I290" s="6"/>
      <c r="J290" s="6"/>
      <c r="K290" s="6"/>
      <c r="L290" s="6"/>
      <c r="M290" s="6"/>
      <c r="N290" s="6"/>
      <c r="O290" s="28" t="s">
        <v>862</v>
      </c>
      <c r="P290" s="34"/>
      <c r="Q290" s="34" t="s">
        <v>1218</v>
      </c>
      <c r="R290" s="29"/>
    </row>
    <row r="291" spans="1:18" ht="17.25" customHeight="1">
      <c r="A291" s="30" t="s">
        <v>272</v>
      </c>
      <c r="B291" s="23" t="str" cm="1">
        <f t="array" ref="B291">_xlfn.TEXTJOIN(", ", TRUE(), _xlfn._xlws.FILTER(Spkrs_Rcrdngs[Speaker],Spkrs_Rcrdngs[Recording]=Rcrdngs[[#This Row],[Text]],"[no speaker selected in Speakers_in_Recordings]"))</f>
        <v>Harran01, Harran03</v>
      </c>
      <c r="C291" s="41" t="str" cm="1">
        <f t="array" ref="C291">_xlfn.TEXTJOIN(", ", TRUE(), _xlfn._xlws.FILTER(Sbcts_Rcrdngs[Subject],Sbcts_Rcrdngs[Recording]=Rcrdngs[[#This Row],[Text]],"[no subject selected in Subjects_in_Recordings]"))</f>
        <v>Grandfather</v>
      </c>
      <c r="D291" s="25">
        <v>43429</v>
      </c>
      <c r="E291" s="26" t="s">
        <v>1219</v>
      </c>
      <c r="F291" s="27" t="s">
        <v>861</v>
      </c>
      <c r="G291" s="27" t="s">
        <v>605</v>
      </c>
      <c r="H291" s="27"/>
      <c r="I291" s="6"/>
      <c r="J291" s="6"/>
      <c r="K291" s="6"/>
      <c r="L291" s="6"/>
      <c r="M291" s="6"/>
      <c r="N291" s="6"/>
      <c r="O291" s="28" t="s">
        <v>862</v>
      </c>
      <c r="P291" s="34"/>
      <c r="Q291" s="34" t="s">
        <v>1220</v>
      </c>
      <c r="R291" s="29"/>
    </row>
    <row r="292" spans="1:18" ht="17.25" customHeight="1">
      <c r="A292" s="30" t="s">
        <v>273</v>
      </c>
      <c r="B292" s="23" t="str" cm="1">
        <f t="array" ref="B292">_xlfn.TEXTJOIN(", ", TRUE(), _xlfn._xlws.FILTER(Spkrs_Rcrdngs[Speaker],Spkrs_Rcrdngs[Recording]=Rcrdngs[[#This Row],[Text]],"[no speaker selected in Speakers_in_Recordings]"))</f>
        <v>Harran01, Harran11, Harran02</v>
      </c>
      <c r="C292" s="41" t="str" cm="1">
        <f t="array" ref="C292">_xlfn.TEXTJOIN(", ", TRUE(), _xlfn._xlws.FILTER(Sbcts_Rcrdngs[Subject],Sbcts_Rcrdngs[Recording]=Rcrdngs[[#This Row],[Text]],"[no subject selected in Subjects_in_Recordings]"))</f>
        <v>Caves</v>
      </c>
      <c r="D292" s="25">
        <v>43430</v>
      </c>
      <c r="E292" s="26" t="s">
        <v>1221</v>
      </c>
      <c r="F292" s="27" t="s">
        <v>861</v>
      </c>
      <c r="G292" s="27" t="s">
        <v>605</v>
      </c>
      <c r="H292" s="27"/>
      <c r="I292" s="6"/>
      <c r="J292" s="6"/>
      <c r="K292" s="6"/>
      <c r="L292" s="6"/>
      <c r="M292" s="6"/>
      <c r="N292" s="6"/>
      <c r="O292" s="28" t="s">
        <v>862</v>
      </c>
      <c r="P292" s="34"/>
      <c r="Q292" s="34" t="s">
        <v>1222</v>
      </c>
      <c r="R292" s="29"/>
    </row>
    <row r="293" spans="1:18" ht="17.25" customHeight="1">
      <c r="A293" s="30" t="s">
        <v>274</v>
      </c>
      <c r="B293" s="23" t="str" cm="1">
        <f t="array" ref="B293">_xlfn.TEXTJOIN(", ", TRUE(), _xlfn._xlws.FILTER(Spkrs_Rcrdngs[Speaker],Spkrs_Rcrdngs[Recording]=Rcrdngs[[#This Row],[Text]],"[no speaker selected in Speakers_in_Recordings]"))</f>
        <v>Harran01, Harran11, Harran02</v>
      </c>
      <c r="C293" s="41" t="str" cm="1">
        <f t="array" ref="C293">_xlfn.TEXTJOIN(", ", TRUE(), _xlfn._xlws.FILTER(Sbcts_Rcrdngs[Subject],Sbcts_Rcrdngs[Recording]=Rcrdngs[[#This Row],[Text]],"[no subject selected in Subjects_in_Recordings]"))</f>
        <v>Caves</v>
      </c>
      <c r="D293" s="25">
        <v>43430</v>
      </c>
      <c r="E293" s="26" t="s">
        <v>1223</v>
      </c>
      <c r="F293" s="27" t="s">
        <v>861</v>
      </c>
      <c r="G293" s="27" t="s">
        <v>605</v>
      </c>
      <c r="H293" s="27"/>
      <c r="I293" s="6"/>
      <c r="J293" s="6"/>
      <c r="K293" s="6"/>
      <c r="L293" s="6"/>
      <c r="M293" s="6"/>
      <c r="N293" s="6"/>
      <c r="O293" s="28" t="s">
        <v>862</v>
      </c>
      <c r="P293" s="34"/>
      <c r="Q293" s="34" t="s">
        <v>1224</v>
      </c>
      <c r="R293" s="29"/>
    </row>
    <row r="294" spans="1:18" ht="17.25" customHeight="1">
      <c r="A294" s="30" t="s">
        <v>275</v>
      </c>
      <c r="B294" s="23" t="str" cm="1">
        <f t="array" ref="B294">_xlfn.TEXTJOIN(", ", TRUE(), _xlfn._xlws.FILTER(Spkrs_Rcrdngs[Speaker],Spkrs_Rcrdngs[Recording]=Rcrdngs[[#This Row],[Text]],"[no speaker selected in Speakers_in_Recordings]"))</f>
        <v>Harran01, Harran11, Harran02</v>
      </c>
      <c r="C294" s="41" t="str" cm="1">
        <f t="array" ref="C294">_xlfn.TEXTJOIN(", ", TRUE(), _xlfn._xlws.FILTER(Sbcts_Rcrdngs[Subject],Sbcts_Rcrdngs[Recording]=Rcrdngs[[#This Row],[Text]],"[no subject selected in Subjects_in_Recordings]"))</f>
        <v>Caves</v>
      </c>
      <c r="D294" s="25">
        <v>43430</v>
      </c>
      <c r="E294" s="26" t="s">
        <v>1122</v>
      </c>
      <c r="F294" s="27" t="s">
        <v>861</v>
      </c>
      <c r="G294" s="27" t="s">
        <v>605</v>
      </c>
      <c r="H294" s="27"/>
      <c r="I294" s="6"/>
      <c r="J294" s="6"/>
      <c r="K294" s="6"/>
      <c r="L294" s="6"/>
      <c r="M294" s="6"/>
      <c r="N294" s="6"/>
      <c r="O294" s="28" t="s">
        <v>862</v>
      </c>
      <c r="P294" s="34"/>
      <c r="Q294" s="34" t="s">
        <v>1225</v>
      </c>
      <c r="R294" s="29"/>
    </row>
    <row r="295" spans="1:18" ht="17.25" customHeight="1">
      <c r="A295" s="30" t="s">
        <v>276</v>
      </c>
      <c r="B295" s="23" t="str" cm="1">
        <f t="array" ref="B295">_xlfn.TEXTJOIN(", ", TRUE(), _xlfn._xlws.FILTER(Spkrs_Rcrdngs[Speaker],Spkrs_Rcrdngs[Recording]=Rcrdngs[[#This Row],[Text]],"[no speaker selected in Speakers_in_Recordings]"))</f>
        <v>Harran01, Harran11, Harran02</v>
      </c>
      <c r="C295" s="41" t="str" cm="1">
        <f t="array" ref="C295">_xlfn.TEXTJOIN(", ", TRUE(), _xlfn._xlws.FILTER(Sbcts_Rcrdngs[Subject],Sbcts_Rcrdngs[Recording]=Rcrdngs[[#This Row],[Text]],"[no subject selected in Subjects_in_Recordings]"))</f>
        <v>Caves</v>
      </c>
      <c r="D295" s="25">
        <v>43430</v>
      </c>
      <c r="E295" s="26" t="s">
        <v>1226</v>
      </c>
      <c r="F295" s="27" t="s">
        <v>861</v>
      </c>
      <c r="G295" s="27" t="s">
        <v>605</v>
      </c>
      <c r="H295" s="27"/>
      <c r="I295" s="6"/>
      <c r="J295" s="6"/>
      <c r="K295" s="6"/>
      <c r="L295" s="6"/>
      <c r="M295" s="6"/>
      <c r="N295" s="6"/>
      <c r="O295" s="28" t="s">
        <v>862</v>
      </c>
      <c r="P295" s="34"/>
      <c r="Q295" s="34" t="s">
        <v>1227</v>
      </c>
      <c r="R295" s="29"/>
    </row>
    <row r="296" spans="1:18" ht="17.25" customHeight="1">
      <c r="A296" s="30" t="s">
        <v>277</v>
      </c>
      <c r="B296" s="23" t="str" cm="1">
        <f t="array" ref="B296">_xlfn.TEXTJOIN(", ", TRUE(), _xlfn._xlws.FILTER(Spkrs_Rcrdngs[Speaker],Spkrs_Rcrdngs[Recording]=Rcrdngs[[#This Row],[Text]],"[no speaker selected in Speakers_in_Recordings]"))</f>
        <v>Harran01, Harran11, Harran02</v>
      </c>
      <c r="C296" s="41" t="str" cm="1">
        <f t="array" ref="C296">_xlfn.TEXTJOIN(", ", TRUE(), _xlfn._xlws.FILTER(Sbcts_Rcrdngs[Subject],Sbcts_Rcrdngs[Recording]=Rcrdngs[[#This Row],[Text]],"[no subject selected in Subjects_in_Recordings]"))</f>
        <v>Caves</v>
      </c>
      <c r="D296" s="25">
        <v>43430</v>
      </c>
      <c r="E296" s="26" t="s">
        <v>1228</v>
      </c>
      <c r="F296" s="27" t="s">
        <v>861</v>
      </c>
      <c r="G296" s="27" t="s">
        <v>605</v>
      </c>
      <c r="H296" s="27"/>
      <c r="I296" s="6"/>
      <c r="J296" s="6"/>
      <c r="K296" s="6"/>
      <c r="L296" s="6"/>
      <c r="M296" s="6"/>
      <c r="N296" s="6"/>
      <c r="O296" s="28" t="s">
        <v>862</v>
      </c>
      <c r="P296" s="34"/>
      <c r="Q296" s="34" t="s">
        <v>1229</v>
      </c>
      <c r="R296" s="29"/>
    </row>
    <row r="297" spans="1:18" ht="17.25" customHeight="1">
      <c r="A297" s="30" t="s">
        <v>278</v>
      </c>
      <c r="B297" s="23" t="str" cm="1">
        <f t="array" ref="B297">_xlfn.TEXTJOIN(", ", TRUE(), _xlfn._xlws.FILTER(Spkrs_Rcrdngs[Speaker],Spkrs_Rcrdngs[Recording]=Rcrdngs[[#This Row],[Text]],"[no speaker selected in Speakers_in_Recordings]"))</f>
        <v>Harran11, Harran02, Harran12, Harran13</v>
      </c>
      <c r="C297" s="41" t="str" cm="1">
        <f t="array" ref="C297">_xlfn.TEXTJOIN(", ", TRUE(), _xlfn._xlws.FILTER(Sbcts_Rcrdngs[Subject],Sbcts_Rcrdngs[Recording]=Rcrdngs[[#This Row],[Text]],"[no subject selected in Subjects_in_Recordings]"))</f>
        <v>Conversation</v>
      </c>
      <c r="D297" s="25">
        <v>43430</v>
      </c>
      <c r="E297" s="26" t="s">
        <v>1230</v>
      </c>
      <c r="F297" s="27" t="s">
        <v>861</v>
      </c>
      <c r="G297" s="27" t="s">
        <v>605</v>
      </c>
      <c r="H297" s="27"/>
      <c r="I297" s="6"/>
      <c r="J297" s="6"/>
      <c r="K297" s="6"/>
      <c r="L297" s="6"/>
      <c r="M297" s="6"/>
      <c r="N297" s="6"/>
      <c r="O297" s="28" t="s">
        <v>862</v>
      </c>
      <c r="P297" s="34"/>
      <c r="Q297" s="34" t="s">
        <v>1231</v>
      </c>
      <c r="R297" s="29"/>
    </row>
    <row r="298" spans="1:18" ht="17.25" customHeight="1">
      <c r="A298" s="30" t="s">
        <v>279</v>
      </c>
      <c r="B298" s="23" t="str" cm="1">
        <f t="array" ref="B298">_xlfn.TEXTJOIN(", ", TRUE(), _xlfn._xlws.FILTER(Spkrs_Rcrdngs[Speaker],Spkrs_Rcrdngs[Recording]=Rcrdngs[[#This Row],[Text]],"[no speaker selected in Speakers_in_Recordings]"))</f>
        <v>Harran02, Harran13, Harran11, Harran12</v>
      </c>
      <c r="C298" s="41" t="str" cm="1">
        <f t="array" ref="C298">_xlfn.TEXTJOIN(", ", TRUE(), _xlfn._xlws.FILTER(Sbcts_Rcrdngs[Subject],Sbcts_Rcrdngs[Recording]=Rcrdngs[[#This Row],[Text]],"[no subject selected in Subjects_in_Recordings]"))</f>
        <v>Conversation</v>
      </c>
      <c r="D298" s="25">
        <v>43430</v>
      </c>
      <c r="E298" s="26" t="s">
        <v>1232</v>
      </c>
      <c r="F298" s="27" t="s">
        <v>861</v>
      </c>
      <c r="G298" s="27" t="s">
        <v>605</v>
      </c>
      <c r="H298" s="27"/>
      <c r="I298" s="6"/>
      <c r="J298" s="6"/>
      <c r="K298" s="6"/>
      <c r="L298" s="6"/>
      <c r="M298" s="6"/>
      <c r="N298" s="6"/>
      <c r="O298" s="28" t="s">
        <v>862</v>
      </c>
      <c r="P298" s="34"/>
      <c r="Q298" s="34" t="s">
        <v>1233</v>
      </c>
      <c r="R298" s="29"/>
    </row>
    <row r="299" spans="1:18" ht="17.25" customHeight="1">
      <c r="A299" s="30" t="s">
        <v>280</v>
      </c>
      <c r="B299" s="23" t="str" cm="1">
        <f t="array" ref="B299">_xlfn.TEXTJOIN(", ", TRUE(), _xlfn._xlws.FILTER(Spkrs_Rcrdngs[Speaker],Spkrs_Rcrdngs[Recording]=Rcrdngs[[#This Row],[Text]],"[no speaker selected in Speakers_in_Recordings]"))</f>
        <v>Harran01, Harran02, Harran11, Harran12, Harran13, Harran10</v>
      </c>
      <c r="C299" s="41" t="str" cm="1">
        <f t="array" ref="C299">_xlfn.TEXTJOIN(", ", TRUE(), _xlfn._xlws.FILTER(Sbcts_Rcrdngs[Subject],Sbcts_Rcrdngs[Recording]=Rcrdngs[[#This Row],[Text]],"[no subject selected in Subjects_in_Recordings]"))</f>
        <v>Conversation</v>
      </c>
      <c r="D299" s="25">
        <v>43430</v>
      </c>
      <c r="E299" s="26" t="s">
        <v>1234</v>
      </c>
      <c r="F299" s="27" t="s">
        <v>861</v>
      </c>
      <c r="G299" s="27" t="s">
        <v>605</v>
      </c>
      <c r="H299" s="27"/>
      <c r="I299" s="6"/>
      <c r="J299" s="6"/>
      <c r="K299" s="6"/>
      <c r="L299" s="6"/>
      <c r="M299" s="6"/>
      <c r="N299" s="6"/>
      <c r="O299" s="28" t="s">
        <v>862</v>
      </c>
      <c r="P299" s="34"/>
      <c r="Q299" s="34" t="s">
        <v>1235</v>
      </c>
      <c r="R299" s="29"/>
    </row>
    <row r="300" spans="1:18" ht="17.25" customHeight="1">
      <c r="A300" s="30" t="s">
        <v>281</v>
      </c>
      <c r="B300" s="23" t="str" cm="1">
        <f t="array" ref="B300">_xlfn.TEXTJOIN(", ", TRUE(), _xlfn._xlws.FILTER(Spkrs_Rcrdngs[Speaker],Spkrs_Rcrdngs[Recording]=Rcrdngs[[#This Row],[Text]],"[no speaker selected in Speakers_in_Recordings]"))</f>
        <v>Harran01, Harran02, Harran11, Harran13</v>
      </c>
      <c r="C300" s="41" t="str" cm="1">
        <f t="array" ref="C300">_xlfn.TEXTJOIN(", ", TRUE(), _xlfn._xlws.FILTER(Sbcts_Rcrdngs[Subject],Sbcts_Rcrdngs[Recording]=Rcrdngs[[#This Row],[Text]],"[no subject selected in Subjects_in_Recordings]"))</f>
        <v>Conversation</v>
      </c>
      <c r="D300" s="25">
        <v>43430</v>
      </c>
      <c r="E300" s="26" t="s">
        <v>1236</v>
      </c>
      <c r="F300" s="27" t="s">
        <v>861</v>
      </c>
      <c r="G300" s="27" t="s">
        <v>605</v>
      </c>
      <c r="H300" s="27" t="s">
        <v>861</v>
      </c>
      <c r="I300" s="6" t="s">
        <v>604</v>
      </c>
      <c r="J300" s="6" t="s">
        <v>861</v>
      </c>
      <c r="K300" s="6"/>
      <c r="L300" s="6"/>
      <c r="M300" s="6"/>
      <c r="N300" s="6"/>
      <c r="O300" s="28" t="s">
        <v>862</v>
      </c>
      <c r="P300" s="34"/>
      <c r="Q300" s="34" t="s">
        <v>1237</v>
      </c>
      <c r="R300" s="29"/>
    </row>
    <row r="301" spans="1:18" ht="17.25" customHeight="1">
      <c r="A301" s="30" t="s">
        <v>282</v>
      </c>
      <c r="B301" s="23" t="str" cm="1">
        <f t="array" ref="B301">_xlfn.TEXTJOIN(", ", TRUE(), _xlfn._xlws.FILTER(Spkrs_Rcrdngs[Speaker],Spkrs_Rcrdngs[Recording]=Rcrdngs[[#This Row],[Text]],"[no speaker selected in Speakers_in_Recordings]"))</f>
        <v>Harran01, Harran03</v>
      </c>
      <c r="C301" s="24" t="str" cm="1">
        <f t="array" ref="C301">_xlfn.TEXTJOIN(", ", TRUE(), _xlfn._xlws.FILTER(Sbcts_Rcrdngs[Subject],Sbcts_Rcrdngs[Recording]=Rcrdngs[[#This Row],[Text]],"[no subject selected in Subjects_in_Recordings]"))</f>
        <v>Arabic Kebab</v>
      </c>
      <c r="D301" s="25">
        <v>43431</v>
      </c>
      <c r="E301" s="26" t="s">
        <v>1238</v>
      </c>
      <c r="F301" s="27" t="s">
        <v>861</v>
      </c>
      <c r="G301" s="27" t="s">
        <v>605</v>
      </c>
      <c r="H301" s="27"/>
      <c r="I301" s="6"/>
      <c r="J301" s="6"/>
      <c r="K301" s="6"/>
      <c r="L301" s="6"/>
      <c r="M301" s="6"/>
      <c r="N301" s="6"/>
      <c r="O301" s="28" t="s">
        <v>862</v>
      </c>
      <c r="P301" s="34"/>
      <c r="Q301" s="28" t="s">
        <v>1239</v>
      </c>
      <c r="R301" s="29"/>
    </row>
    <row r="302" spans="1:18" ht="17.25" customHeight="1">
      <c r="A302" s="30" t="s">
        <v>283</v>
      </c>
      <c r="B302" s="23" t="str" cm="1">
        <f t="array" ref="B302">_xlfn.TEXTJOIN(", ", TRUE(), _xlfn._xlws.FILTER(Spkrs_Rcrdngs[Speaker],Spkrs_Rcrdngs[Recording]=Rcrdngs[[#This Row],[Text]],"[no speaker selected in Speakers_in_Recordings]"))</f>
        <v>Harran01, Harran03</v>
      </c>
      <c r="C302" s="41" t="str" cm="1">
        <f t="array" ref="C302">_xlfn.TEXTJOIN(", ", TRUE(), _xlfn._xlws.FILTER(Sbcts_Rcrdngs[Subject],Sbcts_Rcrdngs[Recording]=Rcrdngs[[#This Row],[Text]],"[no subject selected in Subjects_in_Recordings]"))</f>
        <v>Bastirma</v>
      </c>
      <c r="D302" s="25">
        <v>43431</v>
      </c>
      <c r="E302" s="26" t="s">
        <v>1240</v>
      </c>
      <c r="F302" s="27" t="s">
        <v>861</v>
      </c>
      <c r="G302" s="27" t="s">
        <v>605</v>
      </c>
      <c r="H302" s="27"/>
      <c r="I302" s="6"/>
      <c r="J302" s="6"/>
      <c r="K302" s="6"/>
      <c r="L302" s="6"/>
      <c r="M302" s="6"/>
      <c r="N302" s="6"/>
      <c r="O302" s="28" t="s">
        <v>862</v>
      </c>
      <c r="P302" s="34"/>
      <c r="Q302" s="34" t="s">
        <v>1241</v>
      </c>
      <c r="R302" s="29"/>
    </row>
    <row r="303" spans="1:18" ht="17.25" customHeight="1">
      <c r="A303" s="30" t="s">
        <v>284</v>
      </c>
      <c r="B303" s="23" t="str" cm="1">
        <f t="array" ref="B303">_xlfn.TEXTJOIN(", ", TRUE(), _xlfn._xlws.FILTER(Spkrs_Rcrdngs[Speaker],Spkrs_Rcrdngs[Recording]=Rcrdngs[[#This Row],[Text]],"[no speaker selected in Speakers_in_Recordings]"))</f>
        <v>Harran01, Harran03, Harran02</v>
      </c>
      <c r="C303" s="41" t="str" cm="1">
        <f t="array" ref="C303">_xlfn.TEXTJOIN(", ", TRUE(), _xlfn._xlws.FILTER(Sbcts_Rcrdngs[Subject],Sbcts_Rcrdngs[Recording]=Rcrdngs[[#This Row],[Text]],"[no subject selected in Subjects_in_Recordings]"))</f>
        <v>Word Hadag</v>
      </c>
      <c r="D303" s="25">
        <v>43431</v>
      </c>
      <c r="E303" s="26" t="s">
        <v>684</v>
      </c>
      <c r="F303" s="27" t="s">
        <v>861</v>
      </c>
      <c r="G303" s="27" t="s">
        <v>605</v>
      </c>
      <c r="H303" s="27"/>
      <c r="I303" s="6"/>
      <c r="J303" s="6"/>
      <c r="K303" s="6"/>
      <c r="L303" s="6"/>
      <c r="M303" s="6"/>
      <c r="N303" s="6"/>
      <c r="O303" s="28" t="s">
        <v>862</v>
      </c>
      <c r="P303" s="34"/>
      <c r="Q303" s="34" t="s">
        <v>1242</v>
      </c>
      <c r="R303" s="29"/>
    </row>
    <row r="304" spans="1:18" ht="17.25" customHeight="1">
      <c r="A304" s="30" t="s">
        <v>285</v>
      </c>
      <c r="B304" s="23" t="str" cm="1">
        <f t="array" ref="B304">_xlfn.TEXTJOIN(", ", TRUE(), _xlfn._xlws.FILTER(Spkrs_Rcrdngs[Speaker],Spkrs_Rcrdngs[Recording]=Rcrdngs[[#This Row],[Text]],"[no speaker selected in Speakers_in_Recordings]"))</f>
        <v>Harran01, Harran03</v>
      </c>
      <c r="C304" s="41" t="str" cm="1">
        <f t="array" ref="C304">_xlfn.TEXTJOIN(", ", TRUE(), _xlfn._xlws.FILTER(Sbcts_Rcrdngs[Subject],Sbcts_Rcrdngs[Recording]=Rcrdngs[[#This Row],[Text]],"[no subject selected in Subjects_in_Recordings]"))</f>
        <v>Neighboor, Former Times</v>
      </c>
      <c r="D304" s="25">
        <v>43432</v>
      </c>
      <c r="E304" s="26" t="s">
        <v>1243</v>
      </c>
      <c r="F304" s="27" t="s">
        <v>861</v>
      </c>
      <c r="G304" s="27" t="s">
        <v>605</v>
      </c>
      <c r="H304" s="27"/>
      <c r="I304" s="6"/>
      <c r="J304" s="6"/>
      <c r="K304" s="6"/>
      <c r="L304" s="6"/>
      <c r="M304" s="6"/>
      <c r="N304" s="6"/>
      <c r="O304" s="28" t="s">
        <v>862</v>
      </c>
      <c r="P304" s="34"/>
      <c r="Q304" s="34" t="s">
        <v>1244</v>
      </c>
      <c r="R304" s="29"/>
    </row>
    <row r="305" spans="1:18" ht="17.25" customHeight="1">
      <c r="A305" s="30" t="s">
        <v>286</v>
      </c>
      <c r="B305" s="23" t="str" cm="1">
        <f t="array" ref="B305">_xlfn.TEXTJOIN(", ", TRUE(), _xlfn._xlws.FILTER(Spkrs_Rcrdngs[Speaker],Spkrs_Rcrdngs[Recording]=Rcrdngs[[#This Row],[Text]],"[no speaker selected in Speakers_in_Recordings]"))</f>
        <v>Harran02, Harran03</v>
      </c>
      <c r="C305" s="41" t="str" cm="1">
        <f t="array" ref="C305">_xlfn.TEXTJOIN(", ", TRUE(), _xlfn._xlws.FILTER(Sbcts_Rcrdngs[Subject],Sbcts_Rcrdngs[Recording]=Rcrdngs[[#This Row],[Text]],"[no subject selected in Subjects_in_Recordings]"))</f>
        <v>Neighboor, Former Times</v>
      </c>
      <c r="D305" s="25">
        <v>43432</v>
      </c>
      <c r="E305" s="26" t="s">
        <v>699</v>
      </c>
      <c r="F305" s="27" t="s">
        <v>861</v>
      </c>
      <c r="G305" s="27" t="s">
        <v>605</v>
      </c>
      <c r="H305" s="27"/>
      <c r="I305" s="6"/>
      <c r="J305" s="6"/>
      <c r="K305" s="6"/>
      <c r="L305" s="6"/>
      <c r="M305" s="6"/>
      <c r="N305" s="6"/>
      <c r="O305" s="28" t="s">
        <v>862</v>
      </c>
      <c r="P305" s="34"/>
      <c r="Q305" s="34" t="s">
        <v>1245</v>
      </c>
      <c r="R305" s="29"/>
    </row>
    <row r="306" spans="1:18" ht="17.25" customHeight="1">
      <c r="A306" s="35" t="s">
        <v>287</v>
      </c>
      <c r="B306" s="23" t="str" cm="1">
        <f t="array" ref="B306">_xlfn.TEXTJOIN(", ", TRUE(), _xlfn._xlws.FILTER(Spkrs_Rcrdngs[Speaker],Spkrs_Rcrdngs[Recording]=Rcrdngs[[#This Row],[Text]],"[no speaker selected in Speakers_in_Recordings]"))</f>
        <v>Harran01, Harran03, Harran02</v>
      </c>
      <c r="C306" s="24" t="str" cm="1">
        <f t="array" ref="C306">_xlfn.TEXTJOIN(", ", TRUE(), _xlfn._xlws.FILTER(Sbcts_Rcrdngs[Subject],Sbcts_Rcrdngs[Recording]=Rcrdngs[[#This Row],[Text]],"[no subject selected in Subjects_in_Recordings]"))</f>
        <v>Father, Grandfather, Arriving in Urfa</v>
      </c>
      <c r="D306" s="25">
        <v>43432</v>
      </c>
      <c r="E306" s="26" t="s">
        <v>1246</v>
      </c>
      <c r="F306" s="27" t="s">
        <v>861</v>
      </c>
      <c r="G306" s="27" t="s">
        <v>605</v>
      </c>
      <c r="H306" s="27"/>
      <c r="I306" s="6"/>
      <c r="J306" s="6"/>
      <c r="K306" s="6"/>
      <c r="L306" s="6"/>
      <c r="M306" s="6"/>
      <c r="N306" s="6"/>
      <c r="O306" s="28" t="s">
        <v>862</v>
      </c>
      <c r="P306" s="34"/>
      <c r="Q306" s="28" t="s">
        <v>1247</v>
      </c>
      <c r="R306" s="29"/>
    </row>
    <row r="307" spans="1:18" ht="17.25" customHeight="1">
      <c r="A307" s="35" t="s">
        <v>288</v>
      </c>
      <c r="B307" s="23" t="str" cm="1">
        <f t="array" ref="B307">_xlfn.TEXTJOIN(", ", TRUE(), _xlfn._xlws.FILTER(Spkrs_Rcrdngs[Speaker],Spkrs_Rcrdngs[Recording]=Rcrdngs[[#This Row],[Text]],"[no speaker selected in Speakers_in_Recordings]"))</f>
        <v>Harran10</v>
      </c>
      <c r="C307" s="24" t="str" cm="1">
        <f t="array" ref="C307">_xlfn.TEXTJOIN(", ", TRUE(), _xlfn._xlws.FILTER(Sbcts_Rcrdngs[Subject],Sbcts_Rcrdngs[Recording]=Rcrdngs[[#This Row],[Text]],"[no subject selected in Subjects_in_Recordings]"))</f>
        <v>Singing</v>
      </c>
      <c r="D307" s="25">
        <v>43432</v>
      </c>
      <c r="E307" s="26" t="s">
        <v>1248</v>
      </c>
      <c r="F307" s="27" t="s">
        <v>861</v>
      </c>
      <c r="G307" s="27" t="s">
        <v>605</v>
      </c>
      <c r="H307" s="27"/>
      <c r="I307" s="6"/>
      <c r="J307" s="6"/>
      <c r="K307" s="6"/>
      <c r="L307" s="6"/>
      <c r="M307" s="6"/>
      <c r="N307" s="6"/>
      <c r="O307" s="28" t="s">
        <v>862</v>
      </c>
      <c r="P307" s="34"/>
      <c r="Q307" s="28" t="s">
        <v>1249</v>
      </c>
      <c r="R307" s="29"/>
    </row>
    <row r="308" spans="1:18" ht="17.25" customHeight="1">
      <c r="A308" s="35" t="s">
        <v>289</v>
      </c>
      <c r="B308" s="23" t="str" cm="1">
        <f t="array" ref="B308">_xlfn.TEXTJOIN(", ", TRUE(), _xlfn._xlws.FILTER(Spkrs_Rcrdngs[Speaker],Spkrs_Rcrdngs[Recording]=Rcrdngs[[#This Row],[Text]],"[no speaker selected in Speakers_in_Recordings]"))</f>
        <v>Harran10</v>
      </c>
      <c r="C308" s="24" t="str" cm="1">
        <f t="array" ref="C308">_xlfn.TEXTJOIN(", ", TRUE(), _xlfn._xlws.FILTER(Sbcts_Rcrdngs[Subject],Sbcts_Rcrdngs[Recording]=Rcrdngs[[#This Row],[Text]],"[no subject selected in Subjects_in_Recordings]"))</f>
        <v>Singing</v>
      </c>
      <c r="D308" s="25">
        <v>43432</v>
      </c>
      <c r="E308" s="26" t="s">
        <v>662</v>
      </c>
      <c r="F308" s="27" t="s">
        <v>861</v>
      </c>
      <c r="G308" s="27" t="s">
        <v>605</v>
      </c>
      <c r="H308" s="27"/>
      <c r="I308" s="6"/>
      <c r="J308" s="6"/>
      <c r="K308" s="6"/>
      <c r="L308" s="6"/>
      <c r="M308" s="6"/>
      <c r="N308" s="6"/>
      <c r="O308" s="28" t="s">
        <v>862</v>
      </c>
      <c r="P308" s="34"/>
      <c r="Q308" s="28" t="s">
        <v>1250</v>
      </c>
      <c r="R308" s="29"/>
    </row>
    <row r="309" spans="1:18" ht="17.25" customHeight="1">
      <c r="A309" s="35" t="s">
        <v>290</v>
      </c>
      <c r="B309" s="23" t="str" cm="1">
        <f t="array" ref="B309">_xlfn.TEXTJOIN(", ", TRUE(), _xlfn._xlws.FILTER(Spkrs_Rcrdngs[Speaker],Spkrs_Rcrdngs[Recording]=Rcrdngs[[#This Row],[Text]],"[no speaker selected in Speakers_in_Recordings]"))</f>
        <v>Harran10</v>
      </c>
      <c r="C309" s="24" t="str" cm="1">
        <f t="array" ref="C309">_xlfn.TEXTJOIN(", ", TRUE(), _xlfn._xlws.FILTER(Sbcts_Rcrdngs[Subject],Sbcts_Rcrdngs[Recording]=Rcrdngs[[#This Row],[Text]],"[no subject selected in Subjects_in_Recordings]"))</f>
        <v>Singing</v>
      </c>
      <c r="D309" s="25">
        <v>43432</v>
      </c>
      <c r="E309" s="26" t="s">
        <v>1009</v>
      </c>
      <c r="F309" s="27" t="s">
        <v>861</v>
      </c>
      <c r="G309" s="27" t="s">
        <v>605</v>
      </c>
      <c r="H309" s="27"/>
      <c r="I309" s="6"/>
      <c r="J309" s="6"/>
      <c r="K309" s="6"/>
      <c r="L309" s="6"/>
      <c r="M309" s="6"/>
      <c r="N309" s="6"/>
      <c r="O309" s="28" t="s">
        <v>862</v>
      </c>
      <c r="P309" s="34"/>
      <c r="Q309" s="28" t="s">
        <v>1251</v>
      </c>
      <c r="R309" s="29"/>
    </row>
    <row r="310" spans="1:18" ht="17.25" customHeight="1">
      <c r="A310" s="35" t="s">
        <v>291</v>
      </c>
      <c r="B310" s="23" t="str" cm="1">
        <f t="array" ref="B310">_xlfn.TEXTJOIN(", ", TRUE(), _xlfn._xlws.FILTER(Spkrs_Rcrdngs[Speaker],Spkrs_Rcrdngs[Recording]=Rcrdngs[[#This Row],[Text]],"[no speaker selected in Speakers_in_Recordings]"))</f>
        <v>Harran04, Harran03</v>
      </c>
      <c r="C310" s="24" t="str" cm="1">
        <f t="array" ref="C310">_xlfn.TEXTJOIN(", ", TRUE(), _xlfn._xlws.FILTER(Sbcts_Rcrdngs[Subject],Sbcts_Rcrdngs[Recording]=Rcrdngs[[#This Row],[Text]],"[no subject selected in Subjects_in_Recordings]"))</f>
        <v>Soldiers, Outlaw</v>
      </c>
      <c r="D310" s="25">
        <v>43432</v>
      </c>
      <c r="E310" s="26" t="s">
        <v>1252</v>
      </c>
      <c r="F310" s="27" t="s">
        <v>1202</v>
      </c>
      <c r="G310" s="27" t="s">
        <v>605</v>
      </c>
      <c r="H310" s="27"/>
      <c r="I310" s="6"/>
      <c r="J310" s="6"/>
      <c r="K310" s="6"/>
      <c r="L310" s="6"/>
      <c r="M310" s="6"/>
      <c r="N310" s="6"/>
      <c r="O310" s="28" t="s">
        <v>862</v>
      </c>
      <c r="P310" s="34"/>
      <c r="Q310" s="28" t="s">
        <v>1253</v>
      </c>
      <c r="R310" s="29"/>
    </row>
    <row r="311" spans="1:18" ht="17.25" customHeight="1">
      <c r="A311" s="35" t="s">
        <v>292</v>
      </c>
      <c r="B311" s="23" t="str" cm="1">
        <f t="array" ref="B311">_xlfn.TEXTJOIN(", ", TRUE(), _xlfn._xlws.FILTER(Spkrs_Rcrdngs[Speaker],Spkrs_Rcrdngs[Recording]=Rcrdngs[[#This Row],[Text]],"[no speaker selected in Speakers_in_Recordings]"))</f>
        <v>Harran02, Syria02</v>
      </c>
      <c r="C311" s="24" t="str" cm="1">
        <f t="array" ref="C311">_xlfn.TEXTJOIN(", ", TRUE(), _xlfn._xlws.FILTER(Sbcts_Rcrdngs[Subject],Sbcts_Rcrdngs[Recording]=Rcrdngs[[#This Row],[Text]],"[no subject selected in Subjects_in_Recordings]"))</f>
        <v>Arrival from Syria, Situation Back Then in Raqqa, Comparison between Syria and Turkey</v>
      </c>
      <c r="D311" s="25">
        <v>44333</v>
      </c>
      <c r="E311" s="26" t="s">
        <v>1254</v>
      </c>
      <c r="F311" s="27" t="s">
        <v>1202</v>
      </c>
      <c r="G311" s="27" t="s">
        <v>605</v>
      </c>
      <c r="H311" s="27" t="s">
        <v>604</v>
      </c>
      <c r="I311" s="6"/>
      <c r="J311" s="6"/>
      <c r="K311" s="6"/>
      <c r="L311" s="6"/>
      <c r="M311" s="6"/>
      <c r="N311" s="6"/>
      <c r="O311" s="28" t="s">
        <v>862</v>
      </c>
      <c r="P311" s="34"/>
      <c r="Q311" s="28" t="s">
        <v>1255</v>
      </c>
      <c r="R311" s="29" t="s">
        <v>1256</v>
      </c>
    </row>
    <row r="312" spans="1:18" ht="17.25" customHeight="1">
      <c r="A312" s="35" t="s">
        <v>293</v>
      </c>
      <c r="B312" s="23" t="str" cm="1">
        <f t="array" ref="B312">_xlfn.TEXTJOIN(", ", TRUE(), _xlfn._xlws.FILTER(Spkrs_Rcrdngs[Speaker],Spkrs_Rcrdngs[Recording]=Rcrdngs[[#This Row],[Text]],"[no speaker selected in Speakers_in_Recordings]"))</f>
        <v>Harran02, Harran04</v>
      </c>
      <c r="C312" s="24" t="str" cm="1">
        <f t="array" ref="C312">_xlfn.TEXTJOIN(", ", TRUE(), _xlfn._xlws.FILTER(Sbcts_Rcrdngs[Subject],Sbcts_Rcrdngs[Recording]=Rcrdngs[[#This Row],[Text]],"[no subject selected in Subjects_in_Recordings]"))</f>
        <v xml:space="preserve">Syria in Former Times </v>
      </c>
      <c r="D312" s="25">
        <v>44348</v>
      </c>
      <c r="E312" s="26" t="s">
        <v>1257</v>
      </c>
      <c r="F312" s="27" t="s">
        <v>1202</v>
      </c>
      <c r="G312" s="27" t="s">
        <v>605</v>
      </c>
      <c r="H312" s="27"/>
      <c r="I312" s="6"/>
      <c r="J312" s="6"/>
      <c r="K312" s="6"/>
      <c r="L312" s="6"/>
      <c r="M312" s="6"/>
      <c r="N312" s="6"/>
      <c r="O312" s="28" t="s">
        <v>862</v>
      </c>
      <c r="P312" s="34"/>
      <c r="Q312" s="28" t="s">
        <v>1258</v>
      </c>
      <c r="R312" s="29"/>
    </row>
    <row r="313" spans="1:18" ht="17.25" customHeight="1">
      <c r="A313" s="35" t="s">
        <v>294</v>
      </c>
      <c r="B313" s="23" t="str" cm="1">
        <f t="array" ref="B313">_xlfn.TEXTJOIN(", ", TRUE(), _xlfn._xlws.FILTER(Spkrs_Rcrdngs[Speaker],Spkrs_Rcrdngs[Recording]=Rcrdngs[[#This Row],[Text]],"[no speaker selected in Speakers_in_Recordings]"))</f>
        <v>Harran02, Harran04</v>
      </c>
      <c r="C313" s="24" t="str" cm="1">
        <f t="array" ref="C313">_xlfn.TEXTJOIN(", ", TRUE(), _xlfn._xlws.FILTER(Sbcts_Rcrdngs[Subject],Sbcts_Rcrdngs[Recording]=Rcrdngs[[#This Row],[Text]],"[no subject selected in Subjects_in_Recordings]"))</f>
        <v>Syrians to Turkey</v>
      </c>
      <c r="D313" s="25">
        <v>44348</v>
      </c>
      <c r="E313" s="26" t="s">
        <v>987</v>
      </c>
      <c r="F313" s="27" t="s">
        <v>1202</v>
      </c>
      <c r="G313" s="27" t="s">
        <v>605</v>
      </c>
      <c r="H313" s="27"/>
      <c r="I313" s="6"/>
      <c r="J313" s="6"/>
      <c r="K313" s="6"/>
      <c r="L313" s="6"/>
      <c r="M313" s="6"/>
      <c r="N313" s="6"/>
      <c r="O313" s="28" t="s">
        <v>862</v>
      </c>
      <c r="P313" s="34"/>
      <c r="Q313" s="28" t="s">
        <v>1259</v>
      </c>
      <c r="R313" s="29"/>
    </row>
    <row r="314" spans="1:18" ht="17.25" customHeight="1">
      <c r="A314" s="35" t="s">
        <v>295</v>
      </c>
      <c r="B314" s="23" t="str" cm="1">
        <f t="array" ref="B314">_xlfn.TEXTJOIN(", ", TRUE(), _xlfn._xlws.FILTER(Spkrs_Rcrdngs[Speaker],Spkrs_Rcrdngs[Recording]=Rcrdngs[[#This Row],[Text]],"[no speaker selected in Speakers_in_Recordings]"))</f>
        <v>Harran02, Harran04</v>
      </c>
      <c r="C314" s="24" t="str" cm="1">
        <f t="array" ref="C314">_xlfn.TEXTJOIN(", ", TRUE(), _xlfn._xlws.FILTER(Sbcts_Rcrdngs[Subject],Sbcts_Rcrdngs[Recording]=Rcrdngs[[#This Row],[Text]],"[no subject selected in Subjects_in_Recordings]"))</f>
        <v>Consent</v>
      </c>
      <c r="D314" s="25">
        <v>44348</v>
      </c>
      <c r="E314" s="26" t="s">
        <v>722</v>
      </c>
      <c r="F314" s="27" t="s">
        <v>1202</v>
      </c>
      <c r="G314" s="27" t="s">
        <v>605</v>
      </c>
      <c r="H314" s="27"/>
      <c r="I314" s="6"/>
      <c r="J314" s="6"/>
      <c r="K314" s="6"/>
      <c r="L314" s="6"/>
      <c r="M314" s="6"/>
      <c r="N314" s="6"/>
      <c r="O314" s="28" t="s">
        <v>862</v>
      </c>
      <c r="P314" s="34"/>
      <c r="Q314" s="28" t="s">
        <v>1260</v>
      </c>
      <c r="R314" s="29"/>
    </row>
    <row r="315" spans="1:18" ht="17.25" customHeight="1">
      <c r="A315" s="35" t="s">
        <v>1261</v>
      </c>
      <c r="B315" s="23" t="str" cm="1">
        <f t="array" ref="B315">_xlfn.TEXTJOIN(", ", TRUE(), _xlfn._xlws.FILTER(Spkrs_Rcrdngs[Speaker],Spkrs_Rcrdngs[Recording]=Rcrdngs[[#This Row],[Text]],"[no speaker selected in Speakers_in_Recordings]"))</f>
        <v>Harran02, Harran04</v>
      </c>
      <c r="C315" s="24" t="str" cm="1">
        <f t="array" ref="C315">_xlfn.TEXTJOIN(", ", TRUE(), _xlfn._xlws.FILTER(Sbcts_Rcrdngs[Subject],Sbcts_Rcrdngs[Recording]=Rcrdngs[[#This Row],[Text]],"[no subject selected in Subjects_in_Recordings]"))</f>
        <v>Tall Abyad</v>
      </c>
      <c r="D315" s="25">
        <v>44348</v>
      </c>
      <c r="E315" s="26" t="s">
        <v>1262</v>
      </c>
      <c r="F315" s="27" t="s">
        <v>1202</v>
      </c>
      <c r="G315" s="27" t="s">
        <v>605</v>
      </c>
      <c r="H315" s="27"/>
      <c r="I315" s="6"/>
      <c r="J315" s="6"/>
      <c r="K315" s="6"/>
      <c r="L315" s="6"/>
      <c r="M315" s="6"/>
      <c r="N315" s="6"/>
      <c r="O315" s="28" t="s">
        <v>862</v>
      </c>
      <c r="P315" s="34"/>
      <c r="Q315" s="28" t="s">
        <v>1263</v>
      </c>
      <c r="R315" s="29"/>
    </row>
    <row r="316" spans="1:18" ht="17.25" customHeight="1">
      <c r="A316" s="35" t="s">
        <v>296</v>
      </c>
      <c r="B316" s="23" t="str" cm="1">
        <f t="array" ref="B316">_xlfn.TEXTJOIN(", ", TRUE(), _xlfn._xlws.FILTER(Spkrs_Rcrdngs[Speaker],Spkrs_Rcrdngs[Recording]=Rcrdngs[[#This Row],[Text]],"[no speaker selected in Speakers_in_Recordings]"))</f>
        <v>Harran02, Harran04</v>
      </c>
      <c r="C316" s="24" t="str" cm="1">
        <f t="array" ref="C316">_xlfn.TEXTJOIN(", ", TRUE(), _xlfn._xlws.FILTER(Sbcts_Rcrdngs[Subject],Sbcts_Rcrdngs[Recording]=Rcrdngs[[#This Row],[Text]],"[no subject selected in Subjects_in_Recordings]"))</f>
        <v>Personal Marriage Story</v>
      </c>
      <c r="D316" s="25">
        <v>44348</v>
      </c>
      <c r="E316" s="26" t="s">
        <v>1264</v>
      </c>
      <c r="F316" s="27" t="s">
        <v>1202</v>
      </c>
      <c r="G316" s="27" t="s">
        <v>605</v>
      </c>
      <c r="H316" s="27"/>
      <c r="I316" s="6"/>
      <c r="J316" s="6"/>
      <c r="K316" s="6"/>
      <c r="L316" s="6"/>
      <c r="M316" s="6"/>
      <c r="N316" s="6"/>
      <c r="O316" s="28" t="s">
        <v>862</v>
      </c>
      <c r="P316" s="34"/>
      <c r="Q316" s="28" t="s">
        <v>1265</v>
      </c>
      <c r="R316" s="29"/>
    </row>
    <row r="317" spans="1:18" ht="17.25" customHeight="1">
      <c r="A317" s="35" t="s">
        <v>297</v>
      </c>
      <c r="B317" s="23" t="str" cm="1">
        <f t="array" ref="B317">_xlfn.TEXTJOIN(", ", TRUE(), _xlfn._xlws.FILTER(Spkrs_Rcrdngs[Speaker],Spkrs_Rcrdngs[Recording]=Rcrdngs[[#This Row],[Text]],"[no speaker selected in Speakers_in_Recordings]"))</f>
        <v>Harran02, Syria05</v>
      </c>
      <c r="C317" s="24" t="str" cm="1">
        <f t="array" ref="C317">_xlfn.TEXTJOIN(", ", TRUE(), _xlfn._xlws.FILTER(Sbcts_Rcrdngs[Subject],Sbcts_Rcrdngs[Recording]=Rcrdngs[[#This Row],[Text]],"[no subject selected in Subjects_in_Recordings]"))</f>
        <v>Kurban Eid</v>
      </c>
      <c r="D317" s="25">
        <v>44355</v>
      </c>
      <c r="E317" s="26" t="s">
        <v>1266</v>
      </c>
      <c r="F317" s="27" t="s">
        <v>1202</v>
      </c>
      <c r="G317" s="27" t="s">
        <v>605</v>
      </c>
      <c r="H317" s="27"/>
      <c r="I317" s="6"/>
      <c r="J317" s="6"/>
      <c r="K317" s="6"/>
      <c r="L317" s="6"/>
      <c r="M317" s="6"/>
      <c r="N317" s="6"/>
      <c r="O317" s="28" t="s">
        <v>862</v>
      </c>
      <c r="P317" s="34"/>
      <c r="Q317" s="28" t="s">
        <v>1267</v>
      </c>
      <c r="R317" s="29"/>
    </row>
    <row r="318" spans="1:18" ht="17.25" customHeight="1">
      <c r="A318" s="35" t="s">
        <v>298</v>
      </c>
      <c r="B318" s="23" t="str" cm="1">
        <f t="array" ref="B318">_xlfn.TEXTJOIN(", ", TRUE(), _xlfn._xlws.FILTER(Spkrs_Rcrdngs[Speaker],Spkrs_Rcrdngs[Recording]=Rcrdngs[[#This Row],[Text]],"[no speaker selected in Speakers_in_Recordings]"))</f>
        <v>Harran02, Syria05</v>
      </c>
      <c r="C318" s="24" t="str" cm="1">
        <f t="array" ref="C318">_xlfn.TEXTJOIN(", ", TRUE(), _xlfn._xlws.FILTER(Sbcts_Rcrdngs[Subject],Sbcts_Rcrdngs[Recording]=Rcrdngs[[#This Row],[Text]],"[no subject selected in Subjects_in_Recordings]"))</f>
        <v>Reason for Recording</v>
      </c>
      <c r="D318" s="25">
        <v>44355</v>
      </c>
      <c r="E318" s="26" t="s">
        <v>699</v>
      </c>
      <c r="F318" s="27" t="s">
        <v>1202</v>
      </c>
      <c r="G318" s="27" t="s">
        <v>605</v>
      </c>
      <c r="H318" s="27"/>
      <c r="I318" s="6"/>
      <c r="J318" s="6"/>
      <c r="K318" s="6"/>
      <c r="L318" s="6"/>
      <c r="M318" s="6"/>
      <c r="N318" s="6"/>
      <c r="O318" s="28" t="s">
        <v>862</v>
      </c>
      <c r="P318" s="34"/>
      <c r="Q318" s="28" t="s">
        <v>1268</v>
      </c>
      <c r="R318" s="29"/>
    </row>
    <row r="319" spans="1:18" ht="17.25" customHeight="1">
      <c r="A319" s="35" t="s">
        <v>299</v>
      </c>
      <c r="B319" s="23" t="str" cm="1">
        <f t="array" ref="B319">_xlfn.TEXTJOIN(", ", TRUE(), _xlfn._xlws.FILTER(Spkrs_Rcrdngs[Speaker],Spkrs_Rcrdngs[Recording]=Rcrdngs[[#This Row],[Text]],"[no speaker selected in Speakers_in_Recordings]"))</f>
        <v>Harran02, Harran14</v>
      </c>
      <c r="C319" s="24" t="str" cm="1">
        <f t="array" ref="C319">_xlfn.TEXTJOIN(", ", TRUE(), _xlfn._xlws.FILTER(Sbcts_Rcrdngs[Subject],Sbcts_Rcrdngs[Recording]=Rcrdngs[[#This Row],[Text]],"[no subject selected in Subjects_in_Recordings]"))</f>
        <v>Punishment for Fornication, Story about Moses</v>
      </c>
      <c r="D319" s="25">
        <v>44359</v>
      </c>
      <c r="E319" s="26" t="s">
        <v>1221</v>
      </c>
      <c r="F319" s="27" t="s">
        <v>1202</v>
      </c>
      <c r="G319" s="27" t="s">
        <v>605</v>
      </c>
      <c r="H319" s="27" t="s">
        <v>604</v>
      </c>
      <c r="I319" s="6"/>
      <c r="J319" s="6"/>
      <c r="K319" s="6"/>
      <c r="L319" s="6"/>
      <c r="M319" s="6"/>
      <c r="N319" s="6"/>
      <c r="O319" s="28" t="s">
        <v>862</v>
      </c>
      <c r="P319" s="34"/>
      <c r="Q319" s="28" t="s">
        <v>1269</v>
      </c>
      <c r="R319" s="29" t="s">
        <v>1256</v>
      </c>
    </row>
    <row r="320" spans="1:18" ht="17.25" customHeight="1">
      <c r="A320" s="35" t="s">
        <v>300</v>
      </c>
      <c r="B320" s="23" t="str" cm="1">
        <f t="array" ref="B320">_xlfn.TEXTJOIN(", ", TRUE(), _xlfn._xlws.FILTER(Spkrs_Rcrdngs[Speaker],Spkrs_Rcrdngs[Recording]=Rcrdngs[[#This Row],[Text]],"[no speaker selected in Speakers_in_Recordings]"))</f>
        <v>Harran02, Harran14, Harran15</v>
      </c>
      <c r="C320" s="24" t="str" cm="1">
        <f t="array" ref="C320">_xlfn.TEXTJOIN(", ", TRUE(), _xlfn._xlws.FILTER(Sbcts_Rcrdngs[Subject],Sbcts_Rcrdngs[Recording]=Rcrdngs[[#This Row],[Text]],"[no subject selected in Subjects_in_Recordings]"))</f>
        <v>Stories about Some Prophets</v>
      </c>
      <c r="D320" s="25">
        <v>44359</v>
      </c>
      <c r="E320" s="26" t="s">
        <v>1270</v>
      </c>
      <c r="F320" s="27" t="s">
        <v>1202</v>
      </c>
      <c r="G320" s="27" t="s">
        <v>605</v>
      </c>
      <c r="H320" s="27" t="s">
        <v>604</v>
      </c>
      <c r="I320" s="6"/>
      <c r="J320" s="6"/>
      <c r="K320" s="6"/>
      <c r="L320" s="6"/>
      <c r="M320" s="6"/>
      <c r="N320" s="6"/>
      <c r="O320" s="28" t="s">
        <v>862</v>
      </c>
      <c r="P320" s="34"/>
      <c r="Q320" s="28" t="s">
        <v>1271</v>
      </c>
      <c r="R320" s="29" t="s">
        <v>1256</v>
      </c>
    </row>
    <row r="321" spans="1:18" ht="17.25" customHeight="1">
      <c r="A321" s="35" t="s">
        <v>301</v>
      </c>
      <c r="B321" s="23" t="str" cm="1">
        <f t="array" ref="B321">_xlfn.TEXTJOIN(", ", TRUE(), _xlfn._xlws.FILTER(Spkrs_Rcrdngs[Speaker],Spkrs_Rcrdngs[Recording]=Rcrdngs[[#This Row],[Text]],"[no speaker selected in Speakers_in_Recordings]"))</f>
        <v>Harran03, Harran16</v>
      </c>
      <c r="C321" s="24" t="str" cm="1">
        <f t="array" ref="C321">_xlfn.TEXTJOIN(", ", TRUE(), _xlfn._xlws.FILTER(Sbcts_Rcrdngs[Subject],Sbcts_Rcrdngs[Recording]=Rcrdngs[[#This Row],[Text]],"[no subject selected in Subjects_in_Recordings]"))</f>
        <v>Life Story</v>
      </c>
      <c r="D321" s="25">
        <v>44360</v>
      </c>
      <c r="E321" s="26" t="s">
        <v>1272</v>
      </c>
      <c r="F321" s="27" t="s">
        <v>1202</v>
      </c>
      <c r="G321" s="27" t="s">
        <v>605</v>
      </c>
      <c r="H321" s="27"/>
      <c r="I321" s="6"/>
      <c r="J321" s="6"/>
      <c r="K321" s="6"/>
      <c r="L321" s="6"/>
      <c r="M321" s="6"/>
      <c r="N321" s="6"/>
      <c r="O321" s="28" t="s">
        <v>862</v>
      </c>
      <c r="P321" s="34"/>
      <c r="Q321" s="28" t="s">
        <v>1273</v>
      </c>
      <c r="R321" s="29"/>
    </row>
    <row r="322" spans="1:18" ht="17.25" customHeight="1">
      <c r="A322" s="35" t="s">
        <v>302</v>
      </c>
      <c r="B322" s="23" t="str" cm="1">
        <f t="array" ref="B322">_xlfn.TEXTJOIN(", ", TRUE(), _xlfn._xlws.FILTER(Spkrs_Rcrdngs[Speaker],Spkrs_Rcrdngs[Recording]=Rcrdngs[[#This Row],[Text]],"[no speaker selected in Speakers_in_Recordings]"))</f>
        <v>Harran02, Syria05</v>
      </c>
      <c r="C322" s="24" t="str" cm="1">
        <f t="array" ref="C322">_xlfn.TEXTJOIN(", ", TRUE(), _xlfn._xlws.FILTER(Sbcts_Rcrdngs[Subject],Sbcts_Rcrdngs[Recording]=Rcrdngs[[#This Row],[Text]],"[no subject selected in Subjects_in_Recordings]"))</f>
        <v>Importance of Tee</v>
      </c>
      <c r="D322" s="25">
        <v>44361</v>
      </c>
      <c r="E322" s="26" t="s">
        <v>941</v>
      </c>
      <c r="F322" s="27" t="s">
        <v>1202</v>
      </c>
      <c r="G322" s="27" t="s">
        <v>605</v>
      </c>
      <c r="H322" s="27"/>
      <c r="I322" s="6"/>
      <c r="J322" s="6"/>
      <c r="K322" s="6"/>
      <c r="L322" s="6"/>
      <c r="M322" s="6"/>
      <c r="N322" s="6"/>
      <c r="O322" s="28" t="s">
        <v>862</v>
      </c>
      <c r="P322" s="34"/>
      <c r="Q322" s="28" t="s">
        <v>1274</v>
      </c>
      <c r="R322" s="29"/>
    </row>
    <row r="323" spans="1:18" ht="17.25" customHeight="1">
      <c r="A323" s="35" t="s">
        <v>303</v>
      </c>
      <c r="B323" s="23" t="str" cm="1">
        <f t="array" ref="B323">_xlfn.TEXTJOIN(", ", TRUE(), _xlfn._xlws.FILTER(Spkrs_Rcrdngs[Speaker],Spkrs_Rcrdngs[Recording]=Rcrdngs[[#This Row],[Text]],"[no speaker selected in Speakers_in_Recordings]"))</f>
        <v>Harran02, Syria05</v>
      </c>
      <c r="C323" s="24" t="str" cm="1">
        <f t="array" ref="C323">_xlfn.TEXTJOIN(", ", TRUE(), _xlfn._xlws.FILTER(Sbcts_Rcrdngs[Subject],Sbcts_Rcrdngs[Recording]=Rcrdngs[[#This Row],[Text]],"[no subject selected in Subjects_in_Recordings]"))</f>
        <v>Moses and the Rain</v>
      </c>
      <c r="D323" s="25">
        <v>44361</v>
      </c>
      <c r="E323" s="26" t="s">
        <v>929</v>
      </c>
      <c r="F323" s="27" t="s">
        <v>1202</v>
      </c>
      <c r="G323" s="27" t="s">
        <v>605</v>
      </c>
      <c r="H323" s="27"/>
      <c r="I323" s="6"/>
      <c r="J323" s="6"/>
      <c r="K323" s="6"/>
      <c r="L323" s="6"/>
      <c r="M323" s="6"/>
      <c r="N323" s="6"/>
      <c r="O323" s="28" t="s">
        <v>862</v>
      </c>
      <c r="P323" s="34"/>
      <c r="Q323" s="28" t="s">
        <v>1275</v>
      </c>
      <c r="R323" s="29"/>
    </row>
    <row r="324" spans="1:18" ht="17.25" customHeight="1">
      <c r="A324" s="35" t="s">
        <v>304</v>
      </c>
      <c r="B324" s="23" t="str" cm="1">
        <f t="array" ref="B324">_xlfn.TEXTJOIN(", ", TRUE(), _xlfn._xlws.FILTER(Spkrs_Rcrdngs[Speaker],Spkrs_Rcrdngs[Recording]=Rcrdngs[[#This Row],[Text]],"[no speaker selected in Speakers_in_Recordings]"))</f>
        <v>Harran02, Harran03</v>
      </c>
      <c r="C324" s="24" t="str" cm="1">
        <f t="array" ref="C324">_xlfn.TEXTJOIN(", ", TRUE(), _xlfn._xlws.FILTER(Sbcts_Rcrdngs[Subject],Sbcts_Rcrdngs[Recording]=Rcrdngs[[#This Row],[Text]],"[no subject selected in Subjects_in_Recordings]"))</f>
        <v>Sister's Marriage</v>
      </c>
      <c r="D324" s="25">
        <v>44367</v>
      </c>
      <c r="E324" s="26" t="s">
        <v>1276</v>
      </c>
      <c r="F324" s="27" t="s">
        <v>1202</v>
      </c>
      <c r="G324" s="27" t="s">
        <v>605</v>
      </c>
      <c r="H324" s="27"/>
      <c r="I324" s="6"/>
      <c r="J324" s="6"/>
      <c r="K324" s="6"/>
      <c r="L324" s="6"/>
      <c r="M324" s="6"/>
      <c r="N324" s="6"/>
      <c r="O324" s="28" t="s">
        <v>862</v>
      </c>
      <c r="P324" s="34"/>
      <c r="Q324" s="28" t="s">
        <v>1277</v>
      </c>
      <c r="R324" s="29"/>
    </row>
    <row r="325" spans="1:18" ht="17.25" customHeight="1">
      <c r="A325" s="35" t="s">
        <v>305</v>
      </c>
      <c r="B325" s="23" t="str" cm="1">
        <f t="array" ref="B325">_xlfn.TEXTJOIN(", ", TRUE(), _xlfn._xlws.FILTER(Spkrs_Rcrdngs[Speaker],Spkrs_Rcrdngs[Recording]=Rcrdngs[[#This Row],[Text]],"[no speaker selected in Speakers_in_Recordings]"))</f>
        <v>Harran03</v>
      </c>
      <c r="C325" s="24" t="str" cm="1">
        <f t="array" ref="C325">_xlfn.TEXTJOIN(", ", TRUE(), _xlfn._xlws.FILTER(Sbcts_Rcrdngs[Subject],Sbcts_Rcrdngs[Recording]=Rcrdngs[[#This Row],[Text]],"[no subject selected in Subjects_in_Recordings]"))</f>
        <v>Sister's Marriage</v>
      </c>
      <c r="D325" s="25">
        <v>44367</v>
      </c>
      <c r="E325" s="26" t="s">
        <v>1042</v>
      </c>
      <c r="F325" s="27" t="s">
        <v>1202</v>
      </c>
      <c r="G325" s="27" t="s">
        <v>605</v>
      </c>
      <c r="H325" s="27"/>
      <c r="I325" s="6"/>
      <c r="J325" s="6"/>
      <c r="K325" s="6"/>
      <c r="L325" s="6"/>
      <c r="M325" s="6"/>
      <c r="N325" s="6"/>
      <c r="O325" s="28" t="s">
        <v>862</v>
      </c>
      <c r="P325" s="34"/>
      <c r="Q325" s="28" t="s">
        <v>1278</v>
      </c>
      <c r="R325" s="29"/>
    </row>
    <row r="326" spans="1:18" ht="17.25" customHeight="1">
      <c r="A326" s="35" t="s">
        <v>306</v>
      </c>
      <c r="B326" s="23" t="str" cm="1">
        <f t="array" ref="B326">_xlfn.TEXTJOIN(", ", TRUE(), _xlfn._xlws.FILTER(Spkrs_Rcrdngs[Speaker],Spkrs_Rcrdngs[Recording]=Rcrdngs[[#This Row],[Text]],"[no speaker selected in Speakers_in_Recordings]"))</f>
        <v>Harran02</v>
      </c>
      <c r="C326" s="24" t="str" cm="1">
        <f t="array" ref="C326">_xlfn.TEXTJOIN(", ", TRUE(), _xlfn._xlws.FILTER(Sbcts_Rcrdngs[Subject],Sbcts_Rcrdngs[Recording]=Rcrdngs[[#This Row],[Text]],"[no subject selected in Subjects_in_Recordings]"))</f>
        <v>The Shepherd and the Watermelon</v>
      </c>
      <c r="D326" s="25">
        <v>44370</v>
      </c>
      <c r="E326" s="26" t="s">
        <v>1279</v>
      </c>
      <c r="F326" s="27" t="s">
        <v>1202</v>
      </c>
      <c r="G326" s="27" t="s">
        <v>605</v>
      </c>
      <c r="H326" s="27"/>
      <c r="I326" s="6"/>
      <c r="J326" s="6"/>
      <c r="K326" s="6"/>
      <c r="L326" s="6"/>
      <c r="M326" s="6"/>
      <c r="N326" s="6"/>
      <c r="O326" s="28" t="s">
        <v>862</v>
      </c>
      <c r="P326" s="34"/>
      <c r="Q326" s="28" t="s">
        <v>1280</v>
      </c>
      <c r="R326" s="29"/>
    </row>
    <row r="327" spans="1:18" ht="17.25" customHeight="1">
      <c r="A327" s="35" t="s">
        <v>307</v>
      </c>
      <c r="B327" s="23" t="str" cm="1">
        <f t="array" ref="B327">_xlfn.TEXTJOIN(", ", TRUE(), _xlfn._xlws.FILTER(Spkrs_Rcrdngs[Speaker],Spkrs_Rcrdngs[Recording]=Rcrdngs[[#This Row],[Text]],"[no speaker selected in Speakers_in_Recordings]"))</f>
        <v>Harran02, Harran14</v>
      </c>
      <c r="C327" s="24" t="str" cm="1">
        <f t="array" ref="C327">_xlfn.TEXTJOIN(", ", TRUE(), _xlfn._xlws.FILTER(Sbcts_Rcrdngs[Subject],Sbcts_Rcrdngs[Recording]=Rcrdngs[[#This Row],[Text]],"[no subject selected in Subjects_in_Recordings]"))</f>
        <v>Stories about the Prophet</v>
      </c>
      <c r="D327" s="25">
        <v>44471</v>
      </c>
      <c r="E327" s="26" t="s">
        <v>1281</v>
      </c>
      <c r="F327" s="27" t="s">
        <v>1202</v>
      </c>
      <c r="G327" s="27" t="s">
        <v>605</v>
      </c>
      <c r="H327" s="27" t="s">
        <v>604</v>
      </c>
      <c r="I327" s="6"/>
      <c r="J327" s="6"/>
      <c r="K327" s="6"/>
      <c r="L327" s="6"/>
      <c r="M327" s="6"/>
      <c r="N327" s="6"/>
      <c r="O327" s="28" t="s">
        <v>862</v>
      </c>
      <c r="P327" s="34"/>
      <c r="Q327" s="28" t="s">
        <v>1282</v>
      </c>
      <c r="R327" s="29" t="s">
        <v>1256</v>
      </c>
    </row>
    <row r="328" spans="1:18" ht="17.25" customHeight="1">
      <c r="A328" s="35" t="s">
        <v>308</v>
      </c>
      <c r="B328" s="23" t="str" cm="1">
        <f t="array" ref="B328">_xlfn.TEXTJOIN(", ", TRUE(), _xlfn._xlws.FILTER(Spkrs_Rcrdngs[Speaker],Spkrs_Rcrdngs[Recording]=Rcrdngs[[#This Row],[Text]],"[no speaker selected in Speakers_in_Recordings]"))</f>
        <v>Harran02, Harran14</v>
      </c>
      <c r="C328" s="24" t="str" cm="1">
        <f t="array" ref="C328">_xlfn.TEXTJOIN(", ", TRUE(), _xlfn._xlws.FILTER(Sbcts_Rcrdngs[Subject],Sbcts_Rcrdngs[Recording]=Rcrdngs[[#This Row],[Text]],"[no subject selected in Subjects_in_Recordings]"))</f>
        <v>Stories about the Prophet</v>
      </c>
      <c r="D328" s="25">
        <v>44471</v>
      </c>
      <c r="E328" s="26" t="s">
        <v>1283</v>
      </c>
      <c r="F328" s="27" t="s">
        <v>1202</v>
      </c>
      <c r="G328" s="27" t="s">
        <v>605</v>
      </c>
      <c r="H328" s="27" t="s">
        <v>604</v>
      </c>
      <c r="I328" s="6"/>
      <c r="J328" s="6"/>
      <c r="K328" s="6"/>
      <c r="L328" s="6"/>
      <c r="M328" s="6"/>
      <c r="N328" s="6"/>
      <c r="O328" s="28" t="s">
        <v>862</v>
      </c>
      <c r="P328" s="34"/>
      <c r="Q328" s="28" t="s">
        <v>1284</v>
      </c>
      <c r="R328" s="29" t="s">
        <v>1256</v>
      </c>
    </row>
    <row r="329" spans="1:18" ht="17.25" customHeight="1">
      <c r="A329" s="35" t="s">
        <v>309</v>
      </c>
      <c r="B329" s="23" t="str" cm="1">
        <f t="array" ref="B329">_xlfn.TEXTJOIN(", ", TRUE(), _xlfn._xlws.FILTER(Spkrs_Rcrdngs[Speaker],Spkrs_Rcrdngs[Recording]=Rcrdngs[[#This Row],[Text]],"[no speaker selected in Speakers_in_Recordings]"))</f>
        <v>Harran02, Harran14</v>
      </c>
      <c r="C329" s="24" t="str" cm="1">
        <f t="array" ref="C329">_xlfn.TEXTJOIN(", ", TRUE(), _xlfn._xlws.FILTER(Sbcts_Rcrdngs[Subject],Sbcts_Rcrdngs[Recording]=Rcrdngs[[#This Row],[Text]],"[no subject selected in Subjects_in_Recordings]"))</f>
        <v>Marriage in Former Times and Nowadays</v>
      </c>
      <c r="D329" s="25">
        <v>44471</v>
      </c>
      <c r="E329" s="26" t="s">
        <v>1145</v>
      </c>
      <c r="F329" s="27" t="s">
        <v>1202</v>
      </c>
      <c r="G329" s="27" t="s">
        <v>605</v>
      </c>
      <c r="H329" s="27" t="s">
        <v>604</v>
      </c>
      <c r="I329" s="6"/>
      <c r="J329" s="6"/>
      <c r="K329" s="6"/>
      <c r="L329" s="6"/>
      <c r="M329" s="6"/>
      <c r="N329" s="6"/>
      <c r="O329" s="28" t="s">
        <v>862</v>
      </c>
      <c r="P329" s="34"/>
      <c r="Q329" s="28" t="s">
        <v>1285</v>
      </c>
      <c r="R329" s="29" t="s">
        <v>1256</v>
      </c>
    </row>
    <row r="330" spans="1:18" ht="17.25" customHeight="1">
      <c r="A330" s="35" t="s">
        <v>310</v>
      </c>
      <c r="B330" s="23" t="str" cm="1">
        <f t="array" ref="B330">_xlfn.TEXTJOIN(", ", TRUE(), _xlfn._xlws.FILTER(Spkrs_Rcrdngs[Speaker],Spkrs_Rcrdngs[Recording]=Rcrdngs[[#This Row],[Text]],"[no speaker selected in Speakers_in_Recordings]"))</f>
        <v>Harran02, Harran14</v>
      </c>
      <c r="C330" s="24" t="str" cm="1">
        <f t="array" ref="C330">_xlfn.TEXTJOIN(", ", TRUE(), _xlfn._xlws.FILTER(Sbcts_Rcrdngs[Subject],Sbcts_Rcrdngs[Recording]=Rcrdngs[[#This Row],[Text]],"[no subject selected in Subjects_in_Recordings]"))</f>
        <v>Stories from the Past</v>
      </c>
      <c r="D330" s="25">
        <v>44471</v>
      </c>
      <c r="E330" s="26" t="s">
        <v>1286</v>
      </c>
      <c r="F330" s="27" t="s">
        <v>1202</v>
      </c>
      <c r="G330" s="27" t="s">
        <v>605</v>
      </c>
      <c r="H330" s="27" t="s">
        <v>604</v>
      </c>
      <c r="I330" s="6"/>
      <c r="J330" s="6"/>
      <c r="K330" s="6"/>
      <c r="L330" s="6"/>
      <c r="M330" s="6"/>
      <c r="N330" s="6"/>
      <c r="O330" s="28" t="s">
        <v>862</v>
      </c>
      <c r="P330" s="34"/>
      <c r="Q330" s="28" t="s">
        <v>1287</v>
      </c>
      <c r="R330" s="29" t="s">
        <v>1256</v>
      </c>
    </row>
    <row r="331" spans="1:18" ht="17.25" customHeight="1">
      <c r="A331" s="35" t="s">
        <v>311</v>
      </c>
      <c r="B331" s="23" t="str" cm="1">
        <f t="array" ref="B331">_xlfn.TEXTJOIN(", ", TRUE(), _xlfn._xlws.FILTER(Spkrs_Rcrdngs[Speaker],Spkrs_Rcrdngs[Recording]=Rcrdngs[[#This Row],[Text]],"[no speaker selected in Speakers_in_Recordings]"))</f>
        <v>Harran02, Harran14</v>
      </c>
      <c r="C331" s="24" t="str" cm="1">
        <f t="array" ref="C331">_xlfn.TEXTJOIN(", ", TRUE(), _xlfn._xlws.FILTER(Sbcts_Rcrdngs[Subject],Sbcts_Rcrdngs[Recording]=Rcrdngs[[#This Row],[Text]],"[no subject selected in Subjects_in_Recordings]"))</f>
        <v>Fornication</v>
      </c>
      <c r="D331" s="25">
        <v>44471</v>
      </c>
      <c r="E331" s="26" t="s">
        <v>1288</v>
      </c>
      <c r="F331" s="27" t="s">
        <v>1202</v>
      </c>
      <c r="G331" s="27" t="s">
        <v>605</v>
      </c>
      <c r="H331" s="27" t="s">
        <v>604</v>
      </c>
      <c r="I331" s="6"/>
      <c r="J331" s="6"/>
      <c r="K331" s="6"/>
      <c r="L331" s="6"/>
      <c r="M331" s="6"/>
      <c r="N331" s="6"/>
      <c r="O331" s="28" t="s">
        <v>862</v>
      </c>
      <c r="P331" s="34"/>
      <c r="Q331" s="28" t="s">
        <v>1289</v>
      </c>
      <c r="R331" s="29" t="s">
        <v>1256</v>
      </c>
    </row>
    <row r="332" spans="1:18" ht="17.25" customHeight="1">
      <c r="A332" s="35" t="s">
        <v>312</v>
      </c>
      <c r="B332" s="23" t="str" cm="1">
        <f t="array" ref="B332">_xlfn.TEXTJOIN(", ", TRUE(), _xlfn._xlws.FILTER(Spkrs_Rcrdngs[Speaker],Spkrs_Rcrdngs[Recording]=Rcrdngs[[#This Row],[Text]],"[no speaker selected in Speakers_in_Recordings]"))</f>
        <v>Harran02, Harran14</v>
      </c>
      <c r="C332" s="24" t="str" cm="1">
        <f t="array" ref="C332">_xlfn.TEXTJOIN(", ", TRUE(), _xlfn._xlws.FILTER(Sbcts_Rcrdngs[Subject],Sbcts_Rcrdngs[Recording]=Rcrdngs[[#This Row],[Text]],"[no subject selected in Subjects_in_Recordings]"))</f>
        <v>Bread for Syrians</v>
      </c>
      <c r="D332" s="25">
        <v>44471</v>
      </c>
      <c r="E332" s="26" t="s">
        <v>1290</v>
      </c>
      <c r="F332" s="27" t="s">
        <v>1202</v>
      </c>
      <c r="G332" s="27" t="s">
        <v>605</v>
      </c>
      <c r="H332" s="27" t="s">
        <v>604</v>
      </c>
      <c r="I332" s="6"/>
      <c r="J332" s="6"/>
      <c r="K332" s="6"/>
      <c r="L332" s="6"/>
      <c r="M332" s="6"/>
      <c r="N332" s="6"/>
      <c r="O332" s="28" t="s">
        <v>862</v>
      </c>
      <c r="P332" s="34"/>
      <c r="Q332" s="28" t="s">
        <v>1291</v>
      </c>
      <c r="R332" s="29" t="s">
        <v>1256</v>
      </c>
    </row>
    <row r="333" spans="1:18" ht="17.25" customHeight="1">
      <c r="A333" s="35" t="s">
        <v>313</v>
      </c>
      <c r="B333" s="23" t="str" cm="1">
        <f t="array" ref="B333">_xlfn.TEXTJOIN(", ", TRUE(), _xlfn._xlws.FILTER(Spkrs_Rcrdngs[Speaker],Spkrs_Rcrdngs[Recording]=Rcrdngs[[#This Row],[Text]],"[no speaker selected in Speakers_in_Recordings]"))</f>
        <v>Harran02, Harran04</v>
      </c>
      <c r="C333" s="24" t="str" cm="1">
        <f t="array" ref="C333">_xlfn.TEXTJOIN(", ", TRUE(), _xlfn._xlws.FILTER(Sbcts_Rcrdngs[Subject],Sbcts_Rcrdngs[Recording]=Rcrdngs[[#This Row],[Text]],"[no subject selected in Subjects_in_Recordings]"))</f>
        <v>Tribes of Akcakale, Escaping to Syria , Skipping Serving the Military</v>
      </c>
      <c r="D333" s="25">
        <v>44492</v>
      </c>
      <c r="E333" s="26" t="s">
        <v>1066</v>
      </c>
      <c r="F333" s="27" t="s">
        <v>1202</v>
      </c>
      <c r="G333" s="27" t="s">
        <v>605</v>
      </c>
      <c r="H333" s="27" t="s">
        <v>604</v>
      </c>
      <c r="I333" s="6"/>
      <c r="J333" s="6"/>
      <c r="K333" s="6"/>
      <c r="L333" s="6"/>
      <c r="M333" s="6"/>
      <c r="N333" s="6"/>
      <c r="O333" s="28" t="s">
        <v>862</v>
      </c>
      <c r="P333" s="34"/>
      <c r="Q333" s="28" t="s">
        <v>1292</v>
      </c>
      <c r="R333" s="29" t="s">
        <v>1256</v>
      </c>
    </row>
    <row r="334" spans="1:18" ht="17.25" customHeight="1">
      <c r="A334" s="35" t="s">
        <v>314</v>
      </c>
      <c r="B334" s="23" t="str" cm="1">
        <f t="array" ref="B334">_xlfn.TEXTJOIN(", ", TRUE(), _xlfn._xlws.FILTER(Spkrs_Rcrdngs[Speaker],Spkrs_Rcrdngs[Recording]=Rcrdngs[[#This Row],[Text]],"[no speaker selected in Speakers_in_Recordings]"))</f>
        <v>Harran02, Harran14</v>
      </c>
      <c r="C334" s="24" t="str" cm="1">
        <f t="array" ref="C334">_xlfn.TEXTJOIN(", ", TRUE(), _xlfn._xlws.FILTER(Sbcts_Rcrdngs[Subject],Sbcts_Rcrdngs[Recording]=Rcrdngs[[#This Row],[Text]],"[no subject selected in Subjects_in_Recordings]"))</f>
        <v>Visiting his Friend Baqir, Travelling is Easier Now , Al-'Niz Tribe, Marrying from an Elder Family, Man on a Hunt Journey, Appreciating Things More in Former Times , Shoes with Better Qualitiy in Former Times, Story of a Man and his Wife</v>
      </c>
      <c r="D334" s="25">
        <v>44512</v>
      </c>
      <c r="E334" s="26" t="s">
        <v>1293</v>
      </c>
      <c r="F334" s="27" t="s">
        <v>1202</v>
      </c>
      <c r="G334" s="27" t="s">
        <v>605</v>
      </c>
      <c r="H334" s="27"/>
      <c r="I334" s="6"/>
      <c r="J334" s="6"/>
      <c r="K334" s="6"/>
      <c r="L334" s="6"/>
      <c r="M334" s="6"/>
      <c r="N334" s="6"/>
      <c r="O334" s="28" t="s">
        <v>862</v>
      </c>
      <c r="P334" s="34"/>
      <c r="Q334" s="28" t="s">
        <v>1294</v>
      </c>
      <c r="R334" s="29"/>
    </row>
    <row r="335" spans="1:18" ht="17.25" customHeight="1">
      <c r="A335" s="35" t="s">
        <v>315</v>
      </c>
      <c r="B335" s="23" t="str" cm="1">
        <f t="array" ref="B335">_xlfn.TEXTJOIN(", ", TRUE(), _xlfn._xlws.FILTER(Spkrs_Rcrdngs[Speaker],Spkrs_Rcrdngs[Recording]=Rcrdngs[[#This Row],[Text]],"[no speaker selected in Speakers_in_Recordings]"))</f>
        <v>Harran02, Harran14</v>
      </c>
      <c r="C335" s="24" t="str" cm="1">
        <f t="array" ref="C335">_xlfn.TEXTJOIN(", ", TRUE(), _xlfn._xlws.FILTER(Sbcts_Rcrdngs[Subject],Sbcts_Rcrdngs[Recording]=Rcrdngs[[#This Row],[Text]],"[no subject selected in Subjects_in_Recordings]"))</f>
        <v>Counting Grandfathers, Al-'Niz Tribe, King Faisal, Saudi Tribe, Uzbeks in Turkey</v>
      </c>
      <c r="D335" s="25">
        <v>44512</v>
      </c>
      <c r="E335" s="26" t="s">
        <v>1295</v>
      </c>
      <c r="F335" s="27" t="s">
        <v>1202</v>
      </c>
      <c r="G335" s="27" t="s">
        <v>605</v>
      </c>
      <c r="H335" s="27"/>
      <c r="I335" s="6"/>
      <c r="J335" s="6"/>
      <c r="K335" s="6"/>
      <c r="L335" s="6"/>
      <c r="M335" s="6"/>
      <c r="N335" s="6"/>
      <c r="O335" s="28" t="s">
        <v>862</v>
      </c>
      <c r="P335" s="34"/>
      <c r="Q335" s="28" t="s">
        <v>1296</v>
      </c>
      <c r="R335" s="29"/>
    </row>
    <row r="336" spans="1:18" ht="17.25" customHeight="1">
      <c r="A336" s="35" t="s">
        <v>316</v>
      </c>
      <c r="B336" s="23" t="str" cm="1">
        <f t="array" ref="B336">_xlfn.TEXTJOIN(", ", TRUE(), _xlfn._xlws.FILTER(Spkrs_Rcrdngs[Speaker],Spkrs_Rcrdngs[Recording]=Rcrdngs[[#This Row],[Text]],"[no speaker selected in Speakers_in_Recordings]"))</f>
        <v>Harran02, Harran14</v>
      </c>
      <c r="C336" s="24" t="str" cm="1">
        <f t="array" ref="C336">_xlfn.TEXTJOIN(", ", TRUE(), _xlfn._xlws.FILTER(Sbcts_Rcrdngs[Subject],Sbcts_Rcrdngs[Recording]=Rcrdngs[[#This Row],[Text]],"[no subject selected in Subjects_in_Recordings]"))</f>
        <v>Two Arab Tribes, Al-Nawagih, Ibrahim Pasha</v>
      </c>
      <c r="D336" s="25">
        <v>44512</v>
      </c>
      <c r="E336" s="26" t="s">
        <v>1297</v>
      </c>
      <c r="F336" s="27" t="s">
        <v>1202</v>
      </c>
      <c r="G336" s="27" t="s">
        <v>605</v>
      </c>
      <c r="H336" s="27" t="s">
        <v>604</v>
      </c>
      <c r="I336" s="6"/>
      <c r="J336" s="6"/>
      <c r="K336" s="6"/>
      <c r="L336" s="6"/>
      <c r="M336" s="6"/>
      <c r="N336" s="6"/>
      <c r="O336" s="28" t="s">
        <v>862</v>
      </c>
      <c r="P336" s="34"/>
      <c r="Q336" s="28" t="s">
        <v>1298</v>
      </c>
      <c r="R336" s="29" t="s">
        <v>1256</v>
      </c>
    </row>
    <row r="337" spans="1:22" ht="17.25" customHeight="1">
      <c r="A337" s="35" t="s">
        <v>317</v>
      </c>
      <c r="B337" s="23" t="str" cm="1">
        <f t="array" ref="B337">_xlfn.TEXTJOIN(", ", TRUE(), _xlfn._xlws.FILTER(Spkrs_Rcrdngs[Speaker],Spkrs_Rcrdngs[Recording]=Rcrdngs[[#This Row],[Text]],"[no speaker selected in Speakers_in_Recordings]"))</f>
        <v>Harran02, Harran04</v>
      </c>
      <c r="C337" s="24" t="str" cm="1">
        <f t="array" ref="C337">_xlfn.TEXTJOIN(", ", TRUE(), _xlfn._xlws.FILTER(Sbcts_Rcrdngs[Subject],Sbcts_Rcrdngs[Recording]=Rcrdngs[[#This Row],[Text]],"[no subject selected in Subjects_in_Recordings]"))</f>
        <v>Not Being Able to Go Out, Importance of Memory, Giving Money to People in Need</v>
      </c>
      <c r="D337" s="25">
        <v>44524</v>
      </c>
      <c r="E337" s="26" t="s">
        <v>1019</v>
      </c>
      <c r="F337" s="27" t="s">
        <v>1202</v>
      </c>
      <c r="G337" s="27" t="s">
        <v>605</v>
      </c>
      <c r="H337" s="27"/>
      <c r="I337" s="6"/>
      <c r="J337" s="6"/>
      <c r="K337" s="6"/>
      <c r="L337" s="6"/>
      <c r="M337" s="6"/>
      <c r="N337" s="6"/>
      <c r="O337" s="28" t="s">
        <v>862</v>
      </c>
      <c r="P337" s="34"/>
      <c r="Q337" s="28" t="s">
        <v>1299</v>
      </c>
      <c r="R337" s="29"/>
    </row>
    <row r="338" spans="1:22" ht="17.25" customHeight="1">
      <c r="A338" s="35" t="s">
        <v>318</v>
      </c>
      <c r="B338" s="23" t="str" cm="1">
        <f t="array" ref="B338">_xlfn.TEXTJOIN(", ", TRUE(), _xlfn._xlws.FILTER(Spkrs_Rcrdngs[Speaker],Spkrs_Rcrdngs[Recording]=Rcrdngs[[#This Row],[Text]],"[no speaker selected in Speakers_in_Recordings]"))</f>
        <v>Harran01, Harran03</v>
      </c>
      <c r="C338" s="24" t="str" cm="1">
        <f t="array" ref="C338">_xlfn.TEXTJOIN(", ", TRUE(), _xlfn._xlws.FILTER(Sbcts_Rcrdngs[Subject],Sbcts_Rcrdngs[Recording]=Rcrdngs[[#This Row],[Text]],"[no subject selected in Subjects_in_Recordings]"))</f>
        <v>Washing Clothes</v>
      </c>
      <c r="D338" s="25">
        <v>44537</v>
      </c>
      <c r="E338" s="26" t="s">
        <v>1300</v>
      </c>
      <c r="F338" s="27" t="s">
        <v>861</v>
      </c>
      <c r="G338" s="27" t="s">
        <v>605</v>
      </c>
      <c r="H338" s="27" t="s">
        <v>861</v>
      </c>
      <c r="I338" s="6" t="s">
        <v>604</v>
      </c>
      <c r="J338" s="6" t="s">
        <v>861</v>
      </c>
      <c r="K338" s="6" t="s">
        <v>604</v>
      </c>
      <c r="L338" s="6" t="s">
        <v>861</v>
      </c>
      <c r="M338" s="6" t="s">
        <v>604</v>
      </c>
      <c r="N338" s="6"/>
      <c r="O338" s="28" t="s">
        <v>862</v>
      </c>
      <c r="P338" s="34"/>
      <c r="Q338" s="28" t="s">
        <v>1301</v>
      </c>
      <c r="R338" s="29"/>
    </row>
    <row r="339" spans="1:22" ht="17.25" customHeight="1">
      <c r="A339" s="35" t="s">
        <v>319</v>
      </c>
      <c r="B339" s="23" t="str" cm="1">
        <f t="array" ref="B339">_xlfn.TEXTJOIN(", ", TRUE(), _xlfn._xlws.FILTER(Spkrs_Rcrdngs[Speaker],Spkrs_Rcrdngs[Recording]=Rcrdngs[[#This Row],[Text]],"[no speaker selected in Speakers_in_Recordings]"))</f>
        <v>Harran01, Harran03</v>
      </c>
      <c r="C339" s="24" t="str" cm="1">
        <f t="array" ref="C339">_xlfn.TEXTJOIN(", ", TRUE(), _xlfn._xlws.FILTER(Sbcts_Rcrdngs[Subject],Sbcts_Rcrdngs[Recording]=Rcrdngs[[#This Row],[Text]],"[no subject selected in Subjects_in_Recordings]"))</f>
        <v>Prophet Ibrahim, Prophet Yusuf</v>
      </c>
      <c r="D339" s="25">
        <v>44537</v>
      </c>
      <c r="E339" s="26" t="s">
        <v>1302</v>
      </c>
      <c r="F339" s="27" t="s">
        <v>861</v>
      </c>
      <c r="G339" s="27" t="s">
        <v>605</v>
      </c>
      <c r="H339" s="27"/>
      <c r="I339" s="6"/>
      <c r="J339" s="6"/>
      <c r="K339" s="6"/>
      <c r="L339" s="6"/>
      <c r="M339" s="6"/>
      <c r="N339" s="6"/>
      <c r="O339" s="28" t="s">
        <v>862</v>
      </c>
      <c r="P339" s="34"/>
      <c r="Q339" s="28" t="s">
        <v>1303</v>
      </c>
      <c r="R339" s="29"/>
    </row>
    <row r="340" spans="1:22" ht="17.25" customHeight="1">
      <c r="A340" s="35" t="s">
        <v>320</v>
      </c>
      <c r="B340" s="23" t="str" cm="1">
        <f t="array" ref="B340">_xlfn.TEXTJOIN(", ", TRUE(), _xlfn._xlws.FILTER(Spkrs_Rcrdngs[Speaker],Spkrs_Rcrdngs[Recording]=Rcrdngs[[#This Row],[Text]],"[no speaker selected in Speakers_in_Recordings]"))</f>
        <v>Harran01, Harran03</v>
      </c>
      <c r="C340" s="24" t="str" cm="1">
        <f t="array" ref="C340">_xlfn.TEXTJOIN(", ", TRUE(), _xlfn._xlws.FILTER(Sbcts_Rcrdngs[Subject],Sbcts_Rcrdngs[Recording]=Rcrdngs[[#This Row],[Text]],"[no subject selected in Subjects_in_Recordings]"))</f>
        <v>Zulayha</v>
      </c>
      <c r="D340" s="25">
        <v>44537</v>
      </c>
      <c r="E340" s="26" t="s">
        <v>1304</v>
      </c>
      <c r="F340" s="27" t="s">
        <v>861</v>
      </c>
      <c r="G340" s="27" t="s">
        <v>605</v>
      </c>
      <c r="H340" s="27"/>
      <c r="I340" s="6"/>
      <c r="J340" s="6"/>
      <c r="K340" s="6"/>
      <c r="L340" s="6"/>
      <c r="M340" s="6"/>
      <c r="N340" s="6"/>
      <c r="O340" s="28" t="s">
        <v>862</v>
      </c>
      <c r="P340" s="34"/>
      <c r="Q340" s="28" t="s">
        <v>1305</v>
      </c>
      <c r="R340" s="29"/>
    </row>
    <row r="341" spans="1:22" ht="17.25" customHeight="1">
      <c r="A341" s="30" t="s">
        <v>321</v>
      </c>
      <c r="B341" s="23" t="str" cm="1">
        <f t="array" ref="B341">_xlfn.TEXTJOIN(", ", TRUE(), _xlfn._xlws.FILTER(Spkrs_Rcrdngs[Speaker],Spkrs_Rcrdngs[Recording]=Rcrdngs[[#This Row],[Text]],"[no speaker selected in Speakers_in_Recordings]"))</f>
        <v>Harran01, Harran02, Harran03</v>
      </c>
      <c r="C341" s="41" t="str" cm="1">
        <f t="array" ref="C341">_xlfn.TEXTJOIN(", ", TRUE(), _xlfn._xlws.FILTER(Sbcts_Rcrdngs[Subject],Sbcts_Rcrdngs[Recording]=Rcrdngs[[#This Row],[Text]],"[no subject selected in Subjects_in_Recordings]"))</f>
        <v>Threashing Wheat</v>
      </c>
      <c r="D341" s="25">
        <v>44537</v>
      </c>
      <c r="E341" s="26" t="s">
        <v>939</v>
      </c>
      <c r="F341" s="27" t="s">
        <v>861</v>
      </c>
      <c r="G341" s="27" t="s">
        <v>605</v>
      </c>
      <c r="H341" s="27" t="s">
        <v>861</v>
      </c>
      <c r="I341" s="6" t="s">
        <v>604</v>
      </c>
      <c r="J341" s="6" t="s">
        <v>861</v>
      </c>
      <c r="K341" s="6" t="s">
        <v>861</v>
      </c>
      <c r="L341" s="6" t="s">
        <v>604</v>
      </c>
      <c r="M341" s="6" t="s">
        <v>604</v>
      </c>
      <c r="N341" s="6"/>
      <c r="O341" s="28" t="s">
        <v>862</v>
      </c>
      <c r="P341" s="34"/>
      <c r="Q341" s="34" t="s">
        <v>1306</v>
      </c>
      <c r="R341" s="29"/>
    </row>
    <row r="342" spans="1:22" ht="17.25" customHeight="1">
      <c r="A342" s="30" t="s">
        <v>322</v>
      </c>
      <c r="B342" s="23" t="str" cm="1">
        <f t="array" ref="B342">_xlfn.TEXTJOIN(", ", TRUE(), _xlfn._xlws.FILTER(Spkrs_Rcrdngs[Speaker],Spkrs_Rcrdngs[Recording]=Rcrdngs[[#This Row],[Text]],"[no speaker selected in Speakers_in_Recordings]"))</f>
        <v>Harran01, Harran02, Harran03</v>
      </c>
      <c r="C342" s="41" t="str" cm="1">
        <f t="array" ref="C342">_xlfn.TEXTJOIN(", ", TRUE(), _xlfn._xlws.FILTER(Sbcts_Rcrdngs[Subject],Sbcts_Rcrdngs[Recording]=Rcrdngs[[#This Row],[Text]],"[no subject selected in Subjects_in_Recordings]"))</f>
        <v>Harvesting</v>
      </c>
      <c r="D342" s="25">
        <v>44537</v>
      </c>
      <c r="E342" s="26" t="s">
        <v>1307</v>
      </c>
      <c r="F342" s="27" t="s">
        <v>861</v>
      </c>
      <c r="G342" s="27" t="s">
        <v>605</v>
      </c>
      <c r="H342" s="27"/>
      <c r="I342" s="6"/>
      <c r="J342" s="6"/>
      <c r="K342" s="6"/>
      <c r="L342" s="6"/>
      <c r="M342" s="6"/>
      <c r="N342" s="6"/>
      <c r="O342" s="28" t="s">
        <v>862</v>
      </c>
      <c r="P342" s="34"/>
      <c r="Q342" s="34" t="s">
        <v>1308</v>
      </c>
      <c r="R342" s="29"/>
    </row>
    <row r="343" spans="1:22" ht="17.25" customHeight="1">
      <c r="A343" s="44" t="s">
        <v>323</v>
      </c>
      <c r="B343" s="45" t="str" cm="1">
        <f t="array" ref="B343">_xlfn.TEXTJOIN(", ", TRUE(), _xlfn._xlws.FILTER(Spkrs_Rcrdngs[Speaker],Spkrs_Rcrdngs[Recording]=Rcrdngs[[#This Row],[Text]],"[no speaker selected in Speakers_in_Recordings]"))</f>
        <v>Harran01, Harran02</v>
      </c>
      <c r="C343" s="46" t="str" cm="1">
        <f t="array" ref="C343">_xlfn.TEXTJOIN(", ", TRUE(), _xlfn._xlws.FILTER(Sbcts_Rcrdngs[Subject],Sbcts_Rcrdngs[Recording]=Rcrdngs[[#This Row],[Text]],"[no subject selected in Subjects_in_Recordings]"))</f>
        <v>Tribes, Conflicts</v>
      </c>
      <c r="D343" s="47">
        <v>44538</v>
      </c>
      <c r="E343" s="48" t="s">
        <v>1309</v>
      </c>
      <c r="F343" s="49" t="s">
        <v>861</v>
      </c>
      <c r="G343" s="27" t="s">
        <v>605</v>
      </c>
      <c r="H343" s="49"/>
      <c r="I343" s="50"/>
      <c r="J343" s="50"/>
      <c r="K343" s="50"/>
      <c r="L343" s="50"/>
      <c r="M343" s="50"/>
      <c r="N343" s="50"/>
      <c r="O343" s="49" t="s">
        <v>862</v>
      </c>
      <c r="P343" s="51"/>
      <c r="Q343" s="51" t="s">
        <v>1310</v>
      </c>
      <c r="R343" s="52"/>
    </row>
    <row r="344" spans="1:22" ht="17.25" customHeight="1">
      <c r="A344" s="44" t="s">
        <v>324</v>
      </c>
      <c r="B344" s="23" t="str" cm="1">
        <f t="array" ref="B344">_xlfn.TEXTJOIN(", ", TRUE(), _xlfn._xlws.FILTER(Spkrs_Rcrdngs[Speaker],Spkrs_Rcrdngs[Recording]=Rcrdngs[[#This Row],[Text]],"[no speaker selected in Speakers_in_Recordings]"))</f>
        <v>Harran01, Harran02, Harran03, Harran17</v>
      </c>
      <c r="C344" s="24" t="str" cm="1">
        <f t="array" ref="C344">_xlfn.TEXTJOIN(", ", TRUE(), _xlfn._xlws.FILTER(Sbcts_Rcrdngs[Subject],Sbcts_Rcrdngs[Recording]=Rcrdngs[[#This Row],[Text]],"[no subject selected in Subjects_in_Recordings]"))</f>
        <v>Man in Mecca</v>
      </c>
      <c r="D344" s="25">
        <v>44538</v>
      </c>
      <c r="E344" s="26" t="s">
        <v>1311</v>
      </c>
      <c r="F344" s="49" t="s">
        <v>861</v>
      </c>
      <c r="G344" s="27" t="s">
        <v>605</v>
      </c>
      <c r="H344" s="27"/>
      <c r="I344" s="6"/>
      <c r="J344" s="6"/>
      <c r="K344" s="6"/>
      <c r="L344" s="6"/>
      <c r="M344" s="6"/>
      <c r="N344" s="6"/>
      <c r="O344" s="49" t="s">
        <v>862</v>
      </c>
      <c r="P344" s="34"/>
      <c r="Q344" s="28" t="s">
        <v>1312</v>
      </c>
      <c r="R344" s="29"/>
    </row>
    <row r="345" spans="1:22" ht="17.25" customHeight="1">
      <c r="A345" s="44" t="s">
        <v>325</v>
      </c>
      <c r="B345" s="23" t="str" cm="1">
        <f t="array" ref="B345">_xlfn.TEXTJOIN(", ", TRUE(), _xlfn._xlws.FILTER(Spkrs_Rcrdngs[Speaker],Spkrs_Rcrdngs[Recording]=Rcrdngs[[#This Row],[Text]],"[no speaker selected in Speakers_in_Recordings]"))</f>
        <v>Harran01, Harran02, Harran03, Harran17</v>
      </c>
      <c r="C345" s="24" t="str" cm="1">
        <f t="array" ref="C345">_xlfn.TEXTJOIN(", ", TRUE(), _xlfn._xlws.FILTER(Sbcts_Rcrdngs[Subject],Sbcts_Rcrdngs[Recording]=Rcrdngs[[#This Row],[Text]],"[no subject selected in Subjects_in_Recordings]"))</f>
        <v>Yozgatli in Mecca</v>
      </c>
      <c r="D345" s="25">
        <v>44538</v>
      </c>
      <c r="E345" s="26" t="s">
        <v>1313</v>
      </c>
      <c r="F345" s="49" t="s">
        <v>861</v>
      </c>
      <c r="G345" s="27" t="s">
        <v>605</v>
      </c>
      <c r="H345" s="27"/>
      <c r="I345" s="6"/>
      <c r="J345" s="6"/>
      <c r="K345" s="6"/>
      <c r="L345" s="6"/>
      <c r="M345" s="6"/>
      <c r="N345" s="6"/>
      <c r="O345" s="49" t="s">
        <v>862</v>
      </c>
      <c r="P345" s="34"/>
      <c r="Q345" s="28" t="s">
        <v>1314</v>
      </c>
      <c r="R345" s="29"/>
    </row>
    <row r="346" spans="1:22" ht="17.25" customHeight="1">
      <c r="A346" s="44" t="s">
        <v>326</v>
      </c>
      <c r="B346" s="23" t="str" cm="1">
        <f t="array" ref="B346">_xlfn.TEXTJOIN(", ", TRUE(), _xlfn._xlws.FILTER(Spkrs_Rcrdngs[Speaker],Spkrs_Rcrdngs[Recording]=Rcrdngs[[#This Row],[Text]],"[no speaker selected in Speakers_in_Recordings]"))</f>
        <v>Harran01, Harran02, Harran03, Harran17</v>
      </c>
      <c r="C346" s="24" t="str" cm="1">
        <f t="array" ref="C346">_xlfn.TEXTJOIN(", ", TRUE(), _xlfn._xlws.FILTER(Sbcts_Rcrdngs[Subject],Sbcts_Rcrdngs[Recording]=Rcrdngs[[#This Row],[Text]],"[no subject selected in Subjects_in_Recordings]"))</f>
        <v>Technology, Gold</v>
      </c>
      <c r="D346" s="25">
        <v>44538</v>
      </c>
      <c r="E346" s="26" t="s">
        <v>1315</v>
      </c>
      <c r="F346" s="49" t="s">
        <v>861</v>
      </c>
      <c r="G346" s="27" t="s">
        <v>605</v>
      </c>
      <c r="H346" s="27"/>
      <c r="I346" s="6"/>
      <c r="J346" s="6"/>
      <c r="K346" s="6"/>
      <c r="L346" s="6"/>
      <c r="M346" s="6"/>
      <c r="N346" s="6"/>
      <c r="O346" s="49" t="s">
        <v>862</v>
      </c>
      <c r="P346" s="34"/>
      <c r="Q346" s="28" t="s">
        <v>1316</v>
      </c>
      <c r="R346" s="29"/>
    </row>
    <row r="347" spans="1:22" s="53" customFormat="1" ht="17.25" customHeight="1">
      <c r="A347" s="44" t="s">
        <v>327</v>
      </c>
      <c r="B347" s="23" t="str" cm="1">
        <f t="array" ref="B347">_xlfn.TEXTJOIN(", ", TRUE(), _xlfn._xlws.FILTER(Spkrs_Rcrdngs[Speaker],Spkrs_Rcrdngs[Recording]=Rcrdngs[[#This Row],[Text]],"[no speaker selected in Speakers_in_Recordings]"))</f>
        <v>Harran01, Harran02, Harran17</v>
      </c>
      <c r="C347" s="24" t="str" cm="1">
        <f t="array" ref="C347">_xlfn.TEXTJOIN(", ", TRUE(), _xlfn._xlws.FILTER(Sbcts_Rcrdngs[Subject],Sbcts_Rcrdngs[Recording]=Rcrdngs[[#This Row],[Text]],"[no subject selected in Subjects_in_Recordings]"))</f>
        <v>Consent</v>
      </c>
      <c r="D347" s="25">
        <v>44538</v>
      </c>
      <c r="E347" s="26" t="s">
        <v>711</v>
      </c>
      <c r="F347" s="49" t="s">
        <v>861</v>
      </c>
      <c r="G347" s="27" t="s">
        <v>605</v>
      </c>
      <c r="H347" s="27"/>
      <c r="I347" s="6"/>
      <c r="J347" s="6"/>
      <c r="K347" s="6"/>
      <c r="L347" s="6"/>
      <c r="M347" s="6"/>
      <c r="N347" s="6"/>
      <c r="O347" s="49" t="s">
        <v>862</v>
      </c>
      <c r="P347" s="34"/>
      <c r="Q347" s="28" t="s">
        <v>1317</v>
      </c>
      <c r="R347" s="29"/>
      <c r="V347" s="54"/>
    </row>
    <row r="348" spans="1:22" ht="17.25" customHeight="1">
      <c r="A348" s="44" t="s">
        <v>328</v>
      </c>
      <c r="B348" s="23" t="str" cm="1">
        <f t="array" ref="B348">_xlfn.TEXTJOIN(", ", TRUE(), _xlfn._xlws.FILTER(Spkrs_Rcrdngs[Speaker],Spkrs_Rcrdngs[Recording]=Rcrdngs[[#This Row],[Text]],"[no speaker selected in Speakers_in_Recordings]"))</f>
        <v>Harran01, Harran02</v>
      </c>
      <c r="C348" s="24" t="str" cm="1">
        <f t="array" ref="C348">_xlfn.TEXTJOIN(", ", TRUE(), _xlfn._xlws.FILTER(Sbcts_Rcrdngs[Subject],Sbcts_Rcrdngs[Recording]=Rcrdngs[[#This Row],[Text]],"[no subject selected in Subjects_in_Recordings]"))</f>
        <v>Marrying Russian and Syrian Women</v>
      </c>
      <c r="D348" s="25">
        <v>44539</v>
      </c>
      <c r="E348" s="26" t="s">
        <v>1318</v>
      </c>
      <c r="F348" s="49" t="s">
        <v>861</v>
      </c>
      <c r="G348" s="27" t="s">
        <v>605</v>
      </c>
      <c r="H348" s="27"/>
      <c r="I348" s="6"/>
      <c r="J348" s="6"/>
      <c r="K348" s="6"/>
      <c r="L348" s="6"/>
      <c r="M348" s="6"/>
      <c r="N348" s="6"/>
      <c r="O348" s="49" t="s">
        <v>862</v>
      </c>
      <c r="P348" s="34"/>
      <c r="Q348" s="28" t="s">
        <v>1319</v>
      </c>
      <c r="R348" s="29"/>
    </row>
    <row r="349" spans="1:22" ht="17.25" customHeight="1">
      <c r="A349" s="44" t="s">
        <v>329</v>
      </c>
      <c r="B349" s="23" t="str" cm="1">
        <f t="array" ref="B349">_xlfn.TEXTJOIN(", ", TRUE(), _xlfn._xlws.FILTER(Spkrs_Rcrdngs[Speaker],Spkrs_Rcrdngs[Recording]=Rcrdngs[[#This Row],[Text]],"[no speaker selected in Speakers_in_Recordings]"))</f>
        <v>Harran01, TallShnan01, TallShnan02</v>
      </c>
      <c r="C349" s="24" t="str" cm="1">
        <f t="array" ref="C349">_xlfn.TEXTJOIN(", ", TRUE(), _xlfn._xlws.FILTER(Sbcts_Rcrdngs[Subject],Sbcts_Rcrdngs[Recording]=Rcrdngs[[#This Row],[Text]],"[no subject selected in Subjects_in_Recordings]"))</f>
        <v>Old Times</v>
      </c>
      <c r="D349" s="25">
        <v>44540</v>
      </c>
      <c r="E349" s="26" t="s">
        <v>1320</v>
      </c>
      <c r="F349" s="49" t="s">
        <v>861</v>
      </c>
      <c r="G349" s="27" t="s">
        <v>605</v>
      </c>
      <c r="H349" s="27"/>
      <c r="I349" s="6"/>
      <c r="J349" s="6"/>
      <c r="K349" s="6"/>
      <c r="L349" s="6"/>
      <c r="M349" s="6"/>
      <c r="N349" s="6"/>
      <c r="O349" s="49" t="s">
        <v>862</v>
      </c>
      <c r="P349" s="34"/>
      <c r="Q349" s="28" t="s">
        <v>1321</v>
      </c>
      <c r="R349" s="29"/>
    </row>
    <row r="350" spans="1:22" ht="17.25" customHeight="1">
      <c r="A350" s="44" t="s">
        <v>330</v>
      </c>
      <c r="B350" s="23" t="str" cm="1">
        <f t="array" ref="B350">_xlfn.TEXTJOIN(", ", TRUE(), _xlfn._xlws.FILTER(Spkrs_Rcrdngs[Speaker],Spkrs_Rcrdngs[Recording]=Rcrdngs[[#This Row],[Text]],"[no speaker selected in Speakers_in_Recordings]"))</f>
        <v>Harran01, Harran02, TallShnan01</v>
      </c>
      <c r="C350" s="24" t="str" cm="1">
        <f t="array" ref="C350">_xlfn.TEXTJOIN(", ", TRUE(), _xlfn._xlws.FILTER(Sbcts_Rcrdngs[Subject],Sbcts_Rcrdngs[Recording]=Rcrdngs[[#This Row],[Text]],"[no subject selected in Subjects_in_Recordings]"))</f>
        <v>Life, Village</v>
      </c>
      <c r="D350" s="25">
        <v>44540</v>
      </c>
      <c r="E350" s="26" t="s">
        <v>1322</v>
      </c>
      <c r="F350" s="49" t="s">
        <v>861</v>
      </c>
      <c r="G350" s="27" t="s">
        <v>605</v>
      </c>
      <c r="H350" s="27"/>
      <c r="I350" s="6"/>
      <c r="J350" s="6"/>
      <c r="K350" s="6"/>
      <c r="L350" s="6"/>
      <c r="M350" s="6"/>
      <c r="N350" s="6"/>
      <c r="O350" s="49" t="s">
        <v>862</v>
      </c>
      <c r="P350" s="34"/>
      <c r="Q350" s="28" t="s">
        <v>1323</v>
      </c>
      <c r="R350" s="29"/>
    </row>
    <row r="351" spans="1:22" ht="17.25" customHeight="1">
      <c r="A351" s="44" t="s">
        <v>331</v>
      </c>
      <c r="B351" s="23" t="str" cm="1">
        <f t="array" ref="B351">_xlfn.TEXTJOIN(", ", TRUE(), _xlfn._xlws.FILTER(Spkrs_Rcrdngs[Speaker],Spkrs_Rcrdngs[Recording]=Rcrdngs[[#This Row],[Text]],"[no speaker selected in Speakers_in_Recordings]"))</f>
        <v>Harran01, Harran02, Harran03, TallShnan01, TallShnan02</v>
      </c>
      <c r="C351" s="24" t="str" cm="1">
        <f t="array" ref="C351">_xlfn.TEXTJOIN(", ", TRUE(), _xlfn._xlws.FILTER(Sbcts_Rcrdngs[Subject],Sbcts_Rcrdngs[Recording]=Rcrdngs[[#This Row],[Text]],"[no subject selected in Subjects_in_Recordings]"))</f>
        <v>Conversation</v>
      </c>
      <c r="D351" s="25">
        <v>44540</v>
      </c>
      <c r="E351" s="26" t="s">
        <v>1324</v>
      </c>
      <c r="F351" s="49" t="s">
        <v>861</v>
      </c>
      <c r="G351" s="27" t="s">
        <v>605</v>
      </c>
      <c r="H351" s="27"/>
      <c r="I351" s="6"/>
      <c r="J351" s="6"/>
      <c r="K351" s="6"/>
      <c r="L351" s="6"/>
      <c r="M351" s="6"/>
      <c r="N351" s="6"/>
      <c r="O351" s="49" t="s">
        <v>862</v>
      </c>
      <c r="P351" s="34"/>
      <c r="Q351" s="28" t="s">
        <v>1325</v>
      </c>
      <c r="R351" s="29"/>
    </row>
    <row r="352" spans="1:22" ht="17.25" customHeight="1">
      <c r="A352" s="44" t="s">
        <v>332</v>
      </c>
      <c r="B352" s="23" t="str" cm="1">
        <f t="array" ref="B352">_xlfn.TEXTJOIN(", ", TRUE(), _xlfn._xlws.FILTER(Spkrs_Rcrdngs[Speaker],Spkrs_Rcrdngs[Recording]=Rcrdngs[[#This Row],[Text]],"[no speaker selected in Speakers_in_Recordings]"))</f>
        <v>Harran01, Harran02, Harran03, TallShnan01, TallShnan02</v>
      </c>
      <c r="C352" s="24" t="str" cm="1">
        <f t="array" ref="C352">_xlfn.TEXTJOIN(", ", TRUE(), _xlfn._xlws.FILTER(Sbcts_Rcrdngs[Subject],Sbcts_Rcrdngs[Recording]=Rcrdngs[[#This Row],[Text]],"[no subject selected in Subjects_in_Recordings]"))</f>
        <v>Second Wife</v>
      </c>
      <c r="D352" s="25">
        <v>44540</v>
      </c>
      <c r="E352" s="26" t="s">
        <v>1326</v>
      </c>
      <c r="F352" s="49" t="s">
        <v>861</v>
      </c>
      <c r="G352" s="27" t="s">
        <v>605</v>
      </c>
      <c r="H352" s="27" t="s">
        <v>861</v>
      </c>
      <c r="I352" s="6" t="s">
        <v>604</v>
      </c>
      <c r="J352" s="6" t="s">
        <v>861</v>
      </c>
      <c r="K352" s="6"/>
      <c r="L352" s="6"/>
      <c r="M352" s="6"/>
      <c r="N352" s="6"/>
      <c r="O352" s="49" t="s">
        <v>862</v>
      </c>
      <c r="P352" s="34"/>
      <c r="Q352" s="28" t="s">
        <v>1327</v>
      </c>
      <c r="R352" s="29"/>
    </row>
    <row r="353" spans="1:18" ht="17.25" customHeight="1">
      <c r="A353" s="44" t="s">
        <v>333</v>
      </c>
      <c r="B353" s="23" t="str" cm="1">
        <f t="array" ref="B353">_xlfn.TEXTJOIN(", ", TRUE(), _xlfn._xlws.FILTER(Spkrs_Rcrdngs[Speaker],Spkrs_Rcrdngs[Recording]=Rcrdngs[[#This Row],[Text]],"[no speaker selected in Speakers_in_Recordings]"))</f>
        <v>Harran01, Harran02, Harran03, TallShnan01, TallShnan02</v>
      </c>
      <c r="C353" s="24" t="str" cm="1">
        <f t="array" ref="C353">_xlfn.TEXTJOIN(", ", TRUE(), _xlfn._xlws.FILTER(Sbcts_Rcrdngs[Subject],Sbcts_Rcrdngs[Recording]=Rcrdngs[[#This Row],[Text]],"[no subject selected in Subjects_in_Recordings]"))</f>
        <v>Story</v>
      </c>
      <c r="D353" s="25">
        <v>44540</v>
      </c>
      <c r="E353" s="26" t="s">
        <v>1328</v>
      </c>
      <c r="F353" s="49" t="s">
        <v>861</v>
      </c>
      <c r="G353" s="27" t="s">
        <v>605</v>
      </c>
      <c r="H353" s="27"/>
      <c r="I353" s="6"/>
      <c r="J353" s="6"/>
      <c r="K353" s="6"/>
      <c r="L353" s="6"/>
      <c r="M353" s="6"/>
      <c r="N353" s="6"/>
      <c r="O353" s="49" t="s">
        <v>862</v>
      </c>
      <c r="P353" s="34"/>
      <c r="Q353" s="28" t="s">
        <v>1329</v>
      </c>
      <c r="R353" s="29"/>
    </row>
    <row r="354" spans="1:18" ht="17.25" customHeight="1">
      <c r="A354" s="44" t="s">
        <v>334</v>
      </c>
      <c r="B354" s="23" t="str" cm="1">
        <f t="array" ref="B354">_xlfn.TEXTJOIN(", ", TRUE(), _xlfn._xlws.FILTER(Spkrs_Rcrdngs[Speaker],Spkrs_Rcrdngs[Recording]=Rcrdngs[[#This Row],[Text]],"[no speaker selected in Speakers_in_Recordings]"))</f>
        <v>Harran01, Harran02, Syria06</v>
      </c>
      <c r="C354" s="24" t="str" cm="1">
        <f t="array" ref="C354">_xlfn.TEXTJOIN(", ", TRUE(), _xlfn._xlws.FILTER(Sbcts_Rcrdngs[Subject],Sbcts_Rcrdngs[Recording]=Rcrdngs[[#This Row],[Text]],"[no subject selected in Subjects_in_Recordings]"))</f>
        <v>Consent</v>
      </c>
      <c r="D354" s="25">
        <v>44540</v>
      </c>
      <c r="E354" s="26" t="s">
        <v>1330</v>
      </c>
      <c r="F354" s="49" t="s">
        <v>861</v>
      </c>
      <c r="G354" s="27" t="s">
        <v>605</v>
      </c>
      <c r="H354" s="27"/>
      <c r="I354" s="6"/>
      <c r="J354" s="6"/>
      <c r="K354" s="6"/>
      <c r="L354" s="6"/>
      <c r="M354" s="6"/>
      <c r="N354" s="6"/>
      <c r="O354" s="49" t="s">
        <v>862</v>
      </c>
      <c r="P354" s="34"/>
      <c r="Q354" s="28" t="s">
        <v>1331</v>
      </c>
      <c r="R354" s="29"/>
    </row>
    <row r="355" spans="1:18" ht="17.25" customHeight="1">
      <c r="A355" s="44" t="s">
        <v>335</v>
      </c>
      <c r="B355" s="23" t="str" cm="1">
        <f t="array" ref="B355">_xlfn.TEXTJOIN(", ", TRUE(), _xlfn._xlws.FILTER(Spkrs_Rcrdngs[Speaker],Spkrs_Rcrdngs[Recording]=Rcrdngs[[#This Row],[Text]],"[no speaker selected in Speakers_in_Recordings]"))</f>
        <v>Harran01, Harran02, Syria06, Harran03</v>
      </c>
      <c r="C355" s="24" t="str" cm="1">
        <f t="array" ref="C355">_xlfn.TEXTJOIN(", ", TRUE(), _xlfn._xlws.FILTER(Sbcts_Rcrdngs[Subject],Sbcts_Rcrdngs[Recording]=Rcrdngs[[#This Row],[Text]],"[no subject selected in Subjects_in_Recordings]"))</f>
        <v>Food, Traditions</v>
      </c>
      <c r="D355" s="25">
        <v>44540</v>
      </c>
      <c r="E355" s="26" t="s">
        <v>912</v>
      </c>
      <c r="F355" s="49" t="s">
        <v>861</v>
      </c>
      <c r="G355" s="27" t="s">
        <v>605</v>
      </c>
      <c r="H355" s="27"/>
      <c r="I355" s="6"/>
      <c r="J355" s="6"/>
      <c r="K355" s="6"/>
      <c r="L355" s="6"/>
      <c r="M355" s="6"/>
      <c r="N355" s="6"/>
      <c r="O355" s="49" t="s">
        <v>862</v>
      </c>
      <c r="P355" s="34"/>
      <c r="Q355" s="28" t="s">
        <v>1332</v>
      </c>
      <c r="R355" s="29"/>
    </row>
    <row r="356" spans="1:18" ht="17.25" customHeight="1">
      <c r="A356" s="44" t="s">
        <v>336</v>
      </c>
      <c r="B356" s="23" t="str" cm="1">
        <f t="array" ref="B356">_xlfn.TEXTJOIN(", ", TRUE(), _xlfn._xlws.FILTER(Spkrs_Rcrdngs[Speaker],Spkrs_Rcrdngs[Recording]=Rcrdngs[[#This Row],[Text]],"[no speaker selected in Speakers_in_Recordings]"))</f>
        <v>Harran01, Harran02, Syria06</v>
      </c>
      <c r="C356" s="24" t="str" cm="1">
        <f t="array" ref="C356">_xlfn.TEXTJOIN(", ", TRUE(), _xlfn._xlws.FILTER(Sbcts_Rcrdngs[Subject],Sbcts_Rcrdngs[Recording]=Rcrdngs[[#This Row],[Text]],"[no subject selected in Subjects_in_Recordings]"))</f>
        <v>Purification</v>
      </c>
      <c r="D356" s="25">
        <v>44540</v>
      </c>
      <c r="E356" s="26" t="s">
        <v>1333</v>
      </c>
      <c r="F356" s="49" t="s">
        <v>861</v>
      </c>
      <c r="G356" s="27" t="s">
        <v>605</v>
      </c>
      <c r="H356" s="27"/>
      <c r="I356" s="6"/>
      <c r="J356" s="6"/>
      <c r="K356" s="6"/>
      <c r="L356" s="6"/>
      <c r="M356" s="6"/>
      <c r="N356" s="6"/>
      <c r="O356" s="49" t="s">
        <v>862</v>
      </c>
      <c r="P356" s="34"/>
      <c r="Q356" s="28" t="s">
        <v>1334</v>
      </c>
      <c r="R356" s="29"/>
    </row>
    <row r="357" spans="1:18" ht="17.25" customHeight="1">
      <c r="A357" s="44" t="s">
        <v>337</v>
      </c>
      <c r="B357" s="23" t="str" cm="1">
        <f t="array" ref="B357">_xlfn.TEXTJOIN(", ", TRUE(), _xlfn._xlws.FILTER(Spkrs_Rcrdngs[Speaker],Spkrs_Rcrdngs[Recording]=Rcrdngs[[#This Row],[Text]],"[no speaker selected in Speakers_in_Recordings]"))</f>
        <v>Harran01, Harran02, Syria06</v>
      </c>
      <c r="C357" s="24" t="str" cm="1">
        <f t="array" ref="C357">_xlfn.TEXTJOIN(", ", TRUE(), _xlfn._xlws.FILTER(Sbcts_Rcrdngs[Subject],Sbcts_Rcrdngs[Recording]=Rcrdngs[[#This Row],[Text]],"[no subject selected in Subjects_in_Recordings]"))</f>
        <v>Asking a Girl's Hand, Hospitality</v>
      </c>
      <c r="D357" s="25">
        <v>44540</v>
      </c>
      <c r="E357" s="26" t="s">
        <v>1335</v>
      </c>
      <c r="F357" s="49" t="s">
        <v>861</v>
      </c>
      <c r="G357" s="27" t="s">
        <v>605</v>
      </c>
      <c r="H357" s="27"/>
      <c r="I357" s="6"/>
      <c r="J357" s="6"/>
      <c r="K357" s="6"/>
      <c r="L357" s="6"/>
      <c r="M357" s="6"/>
      <c r="N357" s="6"/>
      <c r="O357" s="49" t="s">
        <v>862</v>
      </c>
      <c r="P357" s="34"/>
      <c r="Q357" s="28" t="s">
        <v>1336</v>
      </c>
      <c r="R357" s="29"/>
    </row>
    <row r="358" spans="1:18" ht="17.25" customHeight="1">
      <c r="A358" s="44" t="s">
        <v>338</v>
      </c>
      <c r="B358" s="23" t="str" cm="1">
        <f t="array" ref="B358">_xlfn.TEXTJOIN(", ", TRUE(), _xlfn._xlws.FILTER(Spkrs_Rcrdngs[Speaker],Spkrs_Rcrdngs[Recording]=Rcrdngs[[#This Row],[Text]],"[no speaker selected in Speakers_in_Recordings]"))</f>
        <v>Harran02, TallShnan03</v>
      </c>
      <c r="C358" s="24" t="str" cm="1">
        <f t="array" ref="C358">_xlfn.TEXTJOIN(", ", TRUE(), _xlfn._xlws.FILTER(Sbcts_Rcrdngs[Subject],Sbcts_Rcrdngs[Recording]=Rcrdngs[[#This Row],[Text]],"[no subject selected in Subjects_in_Recordings]"))</f>
        <v>Consent</v>
      </c>
      <c r="D358" s="25">
        <v>44542</v>
      </c>
      <c r="E358" s="26" t="s">
        <v>688</v>
      </c>
      <c r="F358" s="49" t="s">
        <v>861</v>
      </c>
      <c r="G358" s="27" t="s">
        <v>605</v>
      </c>
      <c r="H358" s="27"/>
      <c r="I358" s="6"/>
      <c r="J358" s="6"/>
      <c r="K358" s="6"/>
      <c r="L358" s="6"/>
      <c r="M358" s="6"/>
      <c r="N358" s="6"/>
      <c r="O358" s="49" t="s">
        <v>862</v>
      </c>
      <c r="P358" s="34"/>
      <c r="Q358" s="28" t="s">
        <v>1337</v>
      </c>
      <c r="R358" s="29"/>
    </row>
    <row r="359" spans="1:18" ht="17.25" customHeight="1">
      <c r="A359" s="44" t="s">
        <v>339</v>
      </c>
      <c r="B359" s="23" t="str" cm="1">
        <f t="array" ref="B359">_xlfn.TEXTJOIN(", ", TRUE(), _xlfn._xlws.FILTER(Spkrs_Rcrdngs[Speaker],Spkrs_Rcrdngs[Recording]=Rcrdngs[[#This Row],[Text]],"[no speaker selected in Speakers_in_Recordings]"))</f>
        <v>Harran01, Harran02, TallShnan03</v>
      </c>
      <c r="C359" s="24" t="str" cm="1">
        <f t="array" ref="C359">_xlfn.TEXTJOIN(", ", TRUE(), _xlfn._xlws.FILTER(Sbcts_Rcrdngs[Subject],Sbcts_Rcrdngs[Recording]=Rcrdngs[[#This Row],[Text]],"[no subject selected in Subjects_in_Recordings]"))</f>
        <v>Bedouins</v>
      </c>
      <c r="D359" s="25">
        <v>44542</v>
      </c>
      <c r="E359" s="26" t="s">
        <v>1338</v>
      </c>
      <c r="F359" s="49" t="s">
        <v>861</v>
      </c>
      <c r="G359" s="27" t="s">
        <v>605</v>
      </c>
      <c r="H359" s="27"/>
      <c r="I359" s="6"/>
      <c r="J359" s="6"/>
      <c r="K359" s="6"/>
      <c r="L359" s="6"/>
      <c r="M359" s="6"/>
      <c r="N359" s="6"/>
      <c r="O359" s="49" t="s">
        <v>862</v>
      </c>
      <c r="P359" s="34"/>
      <c r="Q359" s="28" t="s">
        <v>1339</v>
      </c>
      <c r="R359" s="29"/>
    </row>
    <row r="360" spans="1:18" ht="17.25" customHeight="1">
      <c r="A360" s="44" t="s">
        <v>340</v>
      </c>
      <c r="B360" s="23" t="str" cm="1">
        <f t="array" ref="B360">_xlfn.TEXTJOIN(", ", TRUE(), _xlfn._xlws.FILTER(Spkrs_Rcrdngs[Speaker],Spkrs_Rcrdngs[Recording]=Rcrdngs[[#This Row],[Text]],"[no speaker selected in Speakers_in_Recordings]"))</f>
        <v>Harran02, Harran06</v>
      </c>
      <c r="C360" s="24" t="str" cm="1">
        <f t="array" ref="C360">_xlfn.TEXTJOIN(", ", TRUE(), _xlfn._xlws.FILTER(Sbcts_Rcrdngs[Subject],Sbcts_Rcrdngs[Recording]=Rcrdngs[[#This Row],[Text]],"[no subject selected in Subjects_in_Recordings]"))</f>
        <v>Nimr Ibn Adwan</v>
      </c>
      <c r="D360" s="25">
        <v>44542</v>
      </c>
      <c r="E360" s="26" t="s">
        <v>905</v>
      </c>
      <c r="F360" s="49" t="s">
        <v>861</v>
      </c>
      <c r="G360" s="27" t="s">
        <v>605</v>
      </c>
      <c r="H360" s="27"/>
      <c r="I360" s="6"/>
      <c r="J360" s="6"/>
      <c r="K360" s="6"/>
      <c r="L360" s="6"/>
      <c r="M360" s="6"/>
      <c r="N360" s="6"/>
      <c r="O360" s="49" t="s">
        <v>862</v>
      </c>
      <c r="P360" s="34"/>
      <c r="Q360" s="28" t="s">
        <v>1340</v>
      </c>
      <c r="R360" s="29"/>
    </row>
    <row r="361" spans="1:18" ht="17.25" customHeight="1">
      <c r="A361" s="44" t="s">
        <v>341</v>
      </c>
      <c r="B361" s="23" t="str" cm="1">
        <f t="array" ref="B361">_xlfn.TEXTJOIN(", ", TRUE(), _xlfn._xlws.FILTER(Spkrs_Rcrdngs[Speaker],Spkrs_Rcrdngs[Recording]=Rcrdngs[[#This Row],[Text]],"[no speaker selected in Speakers_in_Recordings]"))</f>
        <v>Harran02, Syria07</v>
      </c>
      <c r="C361" s="24" t="str" cm="1">
        <f t="array" ref="C361">_xlfn.TEXTJOIN(", ", TRUE(), _xlfn._xlws.FILTER(Sbcts_Rcrdngs[Subject],Sbcts_Rcrdngs[Recording]=Rcrdngs[[#This Row],[Text]],"[no subject selected in Subjects_in_Recordings]"))</f>
        <v>Family Story</v>
      </c>
      <c r="D361" s="25">
        <v>44593</v>
      </c>
      <c r="E361" s="26" t="s">
        <v>1341</v>
      </c>
      <c r="F361" s="49" t="s">
        <v>1202</v>
      </c>
      <c r="G361" s="27" t="s">
        <v>605</v>
      </c>
      <c r="H361" s="27"/>
      <c r="I361" s="6"/>
      <c r="J361" s="6"/>
      <c r="K361" s="6"/>
      <c r="L361" s="6"/>
      <c r="M361" s="6"/>
      <c r="N361" s="6"/>
      <c r="O361" s="49" t="s">
        <v>862</v>
      </c>
      <c r="P361" s="34"/>
      <c r="Q361" s="28" t="s">
        <v>1342</v>
      </c>
      <c r="R361" s="29"/>
    </row>
    <row r="362" spans="1:18" ht="17.25" customHeight="1">
      <c r="A362" s="44" t="s">
        <v>342</v>
      </c>
      <c r="B362" s="23" t="str" cm="1">
        <f t="array" ref="B362">_xlfn.TEXTJOIN(", ", TRUE(), _xlfn._xlws.FILTER(Spkrs_Rcrdngs[Speaker],Spkrs_Rcrdngs[Recording]=Rcrdngs[[#This Row],[Text]],"[no speaker selected in Speakers_in_Recordings]"))</f>
        <v>Harran02, Harran06</v>
      </c>
      <c r="C362" s="24" t="str" cm="1">
        <f t="array" ref="C362">_xlfn.TEXTJOIN(", ", TRUE(), _xlfn._xlws.FILTER(Sbcts_Rcrdngs[Subject],Sbcts_Rcrdngs[Recording]=Rcrdngs[[#This Row],[Text]],"[no subject selected in Subjects_in_Recordings]"))</f>
        <v>Shepherds in Former Times, Father</v>
      </c>
      <c r="D362" s="25">
        <v>44677</v>
      </c>
      <c r="E362" s="26" t="s">
        <v>1343</v>
      </c>
      <c r="F362" s="49" t="s">
        <v>1202</v>
      </c>
      <c r="G362" s="27" t="s">
        <v>605</v>
      </c>
      <c r="H362" s="27"/>
      <c r="I362" s="6"/>
      <c r="J362" s="6"/>
      <c r="K362" s="6"/>
      <c r="L362" s="6"/>
      <c r="M362" s="6"/>
      <c r="N362" s="6"/>
      <c r="O362" s="49" t="s">
        <v>862</v>
      </c>
      <c r="P362" s="34"/>
      <c r="Q362" s="28" t="s">
        <v>1344</v>
      </c>
      <c r="R362" s="29"/>
    </row>
    <row r="363" spans="1:18" ht="17.25" customHeight="1">
      <c r="A363" s="44" t="s">
        <v>343</v>
      </c>
      <c r="B363" s="23" t="str" cm="1">
        <f t="array" ref="B363">_xlfn.TEXTJOIN(", ", TRUE(), _xlfn._xlws.FILTER(Spkrs_Rcrdngs[Speaker],Spkrs_Rcrdngs[Recording]=Rcrdngs[[#This Row],[Text]],"[no speaker selected in Speakers_in_Recordings]"))</f>
        <v>Harran02, Harran14, Ceylanpinar01</v>
      </c>
      <c r="C363" s="24" t="str" cm="1">
        <f t="array" ref="C363">_xlfn.TEXTJOIN(", ", TRUE(), _xlfn._xlws.FILTER(Sbcts_Rcrdngs[Subject],Sbcts_Rcrdngs[Recording]=Rcrdngs[[#This Row],[Text]],"[no subject selected in Subjects_in_Recordings]"))</f>
        <v>Rich and Cheap People</v>
      </c>
      <c r="D363" s="25">
        <v>44717</v>
      </c>
      <c r="E363" s="26" t="s">
        <v>1345</v>
      </c>
      <c r="F363" s="49" t="s">
        <v>1202</v>
      </c>
      <c r="G363" s="27" t="s">
        <v>605</v>
      </c>
      <c r="H363" s="27"/>
      <c r="I363" s="6"/>
      <c r="J363" s="6"/>
      <c r="K363" s="6"/>
      <c r="L363" s="6"/>
      <c r="M363" s="6"/>
      <c r="N363" s="6"/>
      <c r="O363" s="49" t="s">
        <v>862</v>
      </c>
      <c r="P363" s="34"/>
      <c r="Q363" s="28" t="s">
        <v>1346</v>
      </c>
      <c r="R363" s="29"/>
    </row>
    <row r="364" spans="1:18" ht="17.25" customHeight="1">
      <c r="A364" s="44" t="s">
        <v>344</v>
      </c>
      <c r="B364" s="23" t="str" cm="1">
        <f t="array" ref="B364">_xlfn.TEXTJOIN(", ", TRUE(), _xlfn._xlws.FILTER(Spkrs_Rcrdngs[Speaker],Spkrs_Rcrdngs[Recording]=Rcrdngs[[#This Row],[Text]],"[no speaker selected in Speakers_in_Recordings]"))</f>
        <v>Harran02, Harran14</v>
      </c>
      <c r="C364" s="24" t="str" cm="1">
        <f t="array" ref="C364">_xlfn.TEXTJOIN(", ", TRUE(), _xlfn._xlws.FILTER(Sbcts_Rcrdngs[Subject],Sbcts_Rcrdngs[Recording]=Rcrdngs[[#This Row],[Text]],"[no subject selected in Subjects_in_Recordings]"))</f>
        <v>Motor</v>
      </c>
      <c r="D364" s="25">
        <v>44717</v>
      </c>
      <c r="E364" s="26" t="s">
        <v>1347</v>
      </c>
      <c r="F364" s="49" t="s">
        <v>1202</v>
      </c>
      <c r="G364" s="27" t="s">
        <v>605</v>
      </c>
      <c r="H364" s="27"/>
      <c r="I364" s="6"/>
      <c r="J364" s="6"/>
      <c r="K364" s="6"/>
      <c r="L364" s="6"/>
      <c r="M364" s="6"/>
      <c r="N364" s="6"/>
      <c r="O364" s="49" t="s">
        <v>862</v>
      </c>
      <c r="P364" s="34"/>
      <c r="Q364" s="28" t="s">
        <v>1348</v>
      </c>
      <c r="R364" s="29"/>
    </row>
    <row r="365" spans="1:18" ht="17.25" customHeight="1">
      <c r="A365" s="44" t="s">
        <v>345</v>
      </c>
      <c r="B365" s="23" t="str" cm="1">
        <f t="array" ref="B365">_xlfn.TEXTJOIN(", ", TRUE(), _xlfn._xlws.FILTER(Spkrs_Rcrdngs[Speaker],Spkrs_Rcrdngs[Recording]=Rcrdngs[[#This Row],[Text]],"[no speaker selected in Speakers_in_Recordings]"))</f>
        <v>Harran02, Ceylanpinar02, Ceylanpinar01</v>
      </c>
      <c r="C365" s="24" t="str" cm="1">
        <f t="array" ref="C365">_xlfn.TEXTJOIN(", ", TRUE(), _xlfn._xlws.FILTER(Sbcts_Rcrdngs[Subject],Sbcts_Rcrdngs[Recording]=Rcrdngs[[#This Row],[Text]],"[no subject selected in Subjects_in_Recordings]"))</f>
        <v>Origin of the Tribe</v>
      </c>
      <c r="D365" s="25">
        <v>44717</v>
      </c>
      <c r="E365" s="26" t="s">
        <v>1349</v>
      </c>
      <c r="F365" s="49" t="s">
        <v>1202</v>
      </c>
      <c r="G365" s="27" t="s">
        <v>605</v>
      </c>
      <c r="H365" s="27" t="s">
        <v>861</v>
      </c>
      <c r="I365" s="6" t="s">
        <v>604</v>
      </c>
      <c r="J365" s="6" t="s">
        <v>861</v>
      </c>
      <c r="K365" s="6"/>
      <c r="L365" s="6"/>
      <c r="M365" s="6"/>
      <c r="N365" s="6"/>
      <c r="O365" s="49" t="s">
        <v>862</v>
      </c>
      <c r="P365" s="34"/>
      <c r="Q365" s="28" t="s">
        <v>1350</v>
      </c>
      <c r="R365" s="29"/>
    </row>
    <row r="366" spans="1:18" ht="17.25" customHeight="1">
      <c r="A366" s="35" t="s">
        <v>346</v>
      </c>
      <c r="B366" s="23" t="str" cm="1">
        <f t="array" ref="B366">_xlfn.TEXTJOIN(", ", TRUE(), _xlfn._xlws.FILTER(Spkrs_Rcrdngs[Speaker],Spkrs_Rcrdngs[Recording]=Rcrdngs[[#This Row],[Text]],"[no speaker selected in Speakers_in_Recordings]"))</f>
        <v>Harran02, Ceylanpinar02, Ceylanpinar01</v>
      </c>
      <c r="C366" s="24" t="str" cm="1">
        <f t="array" ref="C366">_xlfn.TEXTJOIN(", ", TRUE(), _xlfn._xlws.FILTER(Sbcts_Rcrdngs[Subject],Sbcts_Rcrdngs[Recording]=Rcrdngs[[#This Row],[Text]],"[no subject selected in Subjects_in_Recordings]"))</f>
        <v>Life of the Tribe in Former Times</v>
      </c>
      <c r="D366" s="25">
        <v>44717</v>
      </c>
      <c r="E366" s="26" t="s">
        <v>1349</v>
      </c>
      <c r="F366" s="49" t="s">
        <v>1202</v>
      </c>
      <c r="G366" s="27" t="s">
        <v>605</v>
      </c>
      <c r="H366" s="27" t="s">
        <v>861</v>
      </c>
      <c r="I366" s="6" t="s">
        <v>604</v>
      </c>
      <c r="J366" s="6" t="s">
        <v>861</v>
      </c>
      <c r="K366" s="6"/>
      <c r="L366" s="6"/>
      <c r="M366" s="6"/>
      <c r="N366" s="6"/>
      <c r="O366" s="49" t="s">
        <v>862</v>
      </c>
      <c r="P366" s="34"/>
      <c r="Q366" s="28" t="s">
        <v>1350</v>
      </c>
      <c r="R366" s="29"/>
    </row>
    <row r="367" spans="1:18" ht="17.25" customHeight="1">
      <c r="A367" s="35" t="s">
        <v>347</v>
      </c>
      <c r="B367" s="23" t="str" cm="1">
        <f t="array" ref="B367">_xlfn.TEXTJOIN(", ", TRUE(), _xlfn._xlws.FILTER(Spkrs_Rcrdngs[Speaker],Spkrs_Rcrdngs[Recording]=Rcrdngs[[#This Row],[Text]],"[no speaker selected in Speakers_in_Recordings]"))</f>
        <v>Harran02, Ceylanpinar02, Ceylanpinar01</v>
      </c>
      <c r="C367" s="24" t="str" cm="1">
        <f t="array" ref="C367">_xlfn.TEXTJOIN(", ", TRUE(), _xlfn._xlws.FILTER(Sbcts_Rcrdngs[Subject],Sbcts_Rcrdngs[Recording]=Rcrdngs[[#This Row],[Text]],"[no subject selected in Subjects_in_Recordings]"))</f>
        <v>Raids in the Past</v>
      </c>
      <c r="D367" s="25">
        <v>44717</v>
      </c>
      <c r="E367" s="26" t="s">
        <v>1349</v>
      </c>
      <c r="F367" s="49" t="s">
        <v>1202</v>
      </c>
      <c r="G367" s="27" t="s">
        <v>605</v>
      </c>
      <c r="H367" s="27" t="s">
        <v>861</v>
      </c>
      <c r="I367" s="6" t="s">
        <v>604</v>
      </c>
      <c r="J367" s="6" t="s">
        <v>861</v>
      </c>
      <c r="K367" s="6"/>
      <c r="L367" s="6"/>
      <c r="M367" s="6"/>
      <c r="N367" s="6"/>
      <c r="O367" s="49" t="s">
        <v>862</v>
      </c>
      <c r="P367" s="34"/>
      <c r="Q367" s="28" t="s">
        <v>1350</v>
      </c>
      <c r="R367" s="29"/>
    </row>
    <row r="368" spans="1:18" ht="17.25" customHeight="1">
      <c r="A368" s="35" t="s">
        <v>348</v>
      </c>
      <c r="B368" s="23" t="str" cm="1">
        <f t="array" ref="B368">_xlfn.TEXTJOIN(", ", TRUE(), _xlfn._xlws.FILTER(Spkrs_Rcrdngs[Speaker],Spkrs_Rcrdngs[Recording]=Rcrdngs[[#This Row],[Text]],"[no speaker selected in Speakers_in_Recordings]"))</f>
        <v>Harran02, Ceylanpinar02, Ceylanpinar01</v>
      </c>
      <c r="C368" s="24" t="str" cm="1">
        <f t="array" ref="C368">_xlfn.TEXTJOIN(", ", TRUE(), _xlfn._xlws.FILTER(Sbcts_Rcrdngs[Subject],Sbcts_Rcrdngs[Recording]=Rcrdngs[[#This Row],[Text]],"[no subject selected in Subjects_in_Recordings]"))</f>
        <v>Relations to other Tribes</v>
      </c>
      <c r="D368" s="25">
        <v>44717</v>
      </c>
      <c r="E368" s="26" t="s">
        <v>1349</v>
      </c>
      <c r="F368" s="49" t="s">
        <v>1202</v>
      </c>
      <c r="G368" s="27" t="s">
        <v>605</v>
      </c>
      <c r="H368" s="27" t="s">
        <v>861</v>
      </c>
      <c r="I368" s="6" t="s">
        <v>604</v>
      </c>
      <c r="J368" s="6" t="s">
        <v>861</v>
      </c>
      <c r="K368" s="6"/>
      <c r="L368" s="6"/>
      <c r="M368" s="6"/>
      <c r="N368" s="6"/>
      <c r="O368" s="49" t="s">
        <v>862</v>
      </c>
      <c r="P368" s="34"/>
      <c r="Q368" s="28" t="s">
        <v>1350</v>
      </c>
      <c r="R368" s="29"/>
    </row>
    <row r="369" spans="1:18" ht="17.25" customHeight="1">
      <c r="A369" s="35" t="s">
        <v>349</v>
      </c>
      <c r="B369" s="23" t="str" cm="1">
        <f t="array" ref="B369">_xlfn.TEXTJOIN(", ", TRUE(), _xlfn._xlws.FILTER(Spkrs_Rcrdngs[Speaker],Spkrs_Rcrdngs[Recording]=Rcrdngs[[#This Row],[Text]],"[no speaker selected in Speakers_in_Recordings]"))</f>
        <v>Harran02, Ceylanpinar02, Ceylanpinar01</v>
      </c>
      <c r="C369" s="24" t="str" cm="1">
        <f t="array" ref="C369">_xlfn.TEXTJOIN(", ", TRUE(), _xlfn._xlws.FILTER(Sbcts_Rcrdngs[Subject],Sbcts_Rcrdngs[Recording]=Rcrdngs[[#This Row],[Text]],"[no subject selected in Subjects_in_Recordings]"))</f>
        <v>Adwan Tribe and Fighting with Ibrahim Pasa</v>
      </c>
      <c r="D369" s="25">
        <v>44717</v>
      </c>
      <c r="E369" s="26" t="s">
        <v>1349</v>
      </c>
      <c r="F369" s="49" t="s">
        <v>1202</v>
      </c>
      <c r="G369" s="27" t="s">
        <v>605</v>
      </c>
      <c r="H369" s="27" t="s">
        <v>861</v>
      </c>
      <c r="I369" s="6" t="s">
        <v>604</v>
      </c>
      <c r="J369" s="6" t="s">
        <v>861</v>
      </c>
      <c r="K369" s="6"/>
      <c r="L369" s="6"/>
      <c r="M369" s="6"/>
      <c r="N369" s="6"/>
      <c r="O369" s="49" t="s">
        <v>862</v>
      </c>
      <c r="P369" s="34"/>
      <c r="Q369" s="28" t="s">
        <v>1350</v>
      </c>
      <c r="R369" s="29"/>
    </row>
    <row r="370" spans="1:18" ht="17.25" customHeight="1">
      <c r="A370" s="44" t="s">
        <v>350</v>
      </c>
      <c r="B370" s="23" t="str" cm="1">
        <f t="array" ref="B370">_xlfn.TEXTJOIN(", ", TRUE(), _xlfn._xlws.FILTER(Spkrs_Rcrdngs[Speaker],Spkrs_Rcrdngs[Recording]=Rcrdngs[[#This Row],[Text]],"[no speaker selected in Speakers_in_Recordings]"))</f>
        <v>Harran02, Ceylanpinar03</v>
      </c>
      <c r="C370" s="24" t="str" cm="1">
        <f t="array" ref="C370">_xlfn.TEXTJOIN(", ", TRUE(), _xlfn._xlws.FILTER(Sbcts_Rcrdngs[Subject],Sbcts_Rcrdngs[Recording]=Rcrdngs[[#This Row],[Text]],"[no subject selected in Subjects_in_Recordings]"))</f>
        <v>Government</v>
      </c>
      <c r="D370" s="25">
        <v>44717</v>
      </c>
      <c r="E370" s="26" t="s">
        <v>1351</v>
      </c>
      <c r="F370" s="49" t="s">
        <v>1202</v>
      </c>
      <c r="G370" s="27" t="s">
        <v>605</v>
      </c>
      <c r="H370" s="27"/>
      <c r="I370" s="6"/>
      <c r="J370" s="6"/>
      <c r="K370" s="6"/>
      <c r="L370" s="6"/>
      <c r="M370" s="6"/>
      <c r="N370" s="6"/>
      <c r="O370" s="49" t="s">
        <v>862</v>
      </c>
      <c r="P370" s="34"/>
      <c r="Q370" s="28" t="s">
        <v>1352</v>
      </c>
      <c r="R370" s="29"/>
    </row>
    <row r="371" spans="1:18" ht="17.25" customHeight="1">
      <c r="A371" s="44" t="s">
        <v>351</v>
      </c>
      <c r="B371" s="23" t="str" cm="1">
        <f t="array" ref="B371">_xlfn.TEXTJOIN(", ", TRUE(), _xlfn._xlws.FILTER(Spkrs_Rcrdngs[Speaker],Spkrs_Rcrdngs[Recording]=Rcrdngs[[#This Row],[Text]],"[no speaker selected in Speakers_in_Recordings]"))</f>
        <v>Harran02, Ceylanpinar01</v>
      </c>
      <c r="C371" s="41" t="str" cm="1">
        <f t="array" ref="C371">_xlfn.TEXTJOIN(", ", TRUE(), _xlfn._xlws.FILTER(Sbcts_Rcrdngs[Subject],Sbcts_Rcrdngs[Recording]=Rcrdngs[[#This Row],[Text]],"[no subject selected in Subjects_in_Recordings]"))</f>
        <v>Costs, Money, Salaries</v>
      </c>
      <c r="D371" s="25">
        <v>44718</v>
      </c>
      <c r="E371" s="26" t="s">
        <v>1353</v>
      </c>
      <c r="F371" s="27" t="s">
        <v>1202</v>
      </c>
      <c r="G371" s="27" t="s">
        <v>605</v>
      </c>
      <c r="H371" s="27"/>
      <c r="I371" s="6"/>
      <c r="J371" s="6"/>
      <c r="K371" s="6"/>
      <c r="L371" s="6"/>
      <c r="M371" s="6"/>
      <c r="N371" s="6"/>
      <c r="O371" s="27" t="s">
        <v>862</v>
      </c>
      <c r="P371" s="34"/>
      <c r="Q371" s="34" t="s">
        <v>1354</v>
      </c>
      <c r="R371" s="29"/>
    </row>
    <row r="372" spans="1:18" ht="17.25" customHeight="1">
      <c r="A372" s="44" t="s">
        <v>352</v>
      </c>
      <c r="B372" s="23" t="str" cm="1">
        <f t="array" ref="B372">_xlfn.TEXTJOIN(", ", TRUE(), _xlfn._xlws.FILTER(Spkrs_Rcrdngs[Speaker],Spkrs_Rcrdngs[Recording]=Rcrdngs[[#This Row],[Text]],"[no speaker selected in Speakers_in_Recordings]"))</f>
        <v>Harran02, Harran06</v>
      </c>
      <c r="C372" s="41" t="str" cm="1">
        <f t="array" ref="C372">_xlfn.TEXTJOIN(", ", TRUE(), _xlfn._xlws.FILTER(Sbcts_Rcrdngs[Subject],Sbcts_Rcrdngs[Recording]=Rcrdngs[[#This Row],[Text]],"[no subject selected in Subjects_in_Recordings]"))</f>
        <v>Family of Ashur, A Sheikh's son</v>
      </c>
      <c r="D372" s="25">
        <v>44724</v>
      </c>
      <c r="E372" s="26" t="s">
        <v>1147</v>
      </c>
      <c r="F372" s="27" t="s">
        <v>1202</v>
      </c>
      <c r="G372" s="27" t="s">
        <v>605</v>
      </c>
      <c r="H372" s="27" t="s">
        <v>861</v>
      </c>
      <c r="I372" s="6" t="s">
        <v>604</v>
      </c>
      <c r="J372" s="6" t="s">
        <v>861</v>
      </c>
      <c r="K372" s="6" t="s">
        <v>604</v>
      </c>
      <c r="L372" s="6" t="s">
        <v>861</v>
      </c>
      <c r="M372" s="6"/>
      <c r="N372" s="6"/>
      <c r="O372" s="27" t="s">
        <v>862</v>
      </c>
      <c r="P372" s="34"/>
      <c r="Q372" s="34" t="s">
        <v>1355</v>
      </c>
      <c r="R372" s="29"/>
    </row>
    <row r="373" spans="1:18" ht="17.25" customHeight="1">
      <c r="A373" s="44" t="s">
        <v>353</v>
      </c>
      <c r="B373" s="23" t="str" cm="1">
        <f t="array" ref="B373">_xlfn.TEXTJOIN(", ", TRUE(), _xlfn._xlws.FILTER(Spkrs_Rcrdngs[Speaker],Spkrs_Rcrdngs[Recording]=Rcrdngs[[#This Row],[Text]],"[no speaker selected in Speakers_in_Recordings]"))</f>
        <v>Harran02, Harran06</v>
      </c>
      <c r="C373" s="41" t="str" cm="1">
        <f t="array" ref="C373">_xlfn.TEXTJOIN(", ", TRUE(), _xlfn._xlws.FILTER(Sbcts_Rcrdngs[Subject],Sbcts_Rcrdngs[Recording]=Rcrdngs[[#This Row],[Text]],"[no subject selected in Subjects_in_Recordings]"))</f>
        <v>Hagg Ali, Dinner</v>
      </c>
      <c r="D373" s="25">
        <v>44724</v>
      </c>
      <c r="E373" s="26" t="s">
        <v>1356</v>
      </c>
      <c r="F373" s="27" t="s">
        <v>1202</v>
      </c>
      <c r="G373" s="27" t="s">
        <v>605</v>
      </c>
      <c r="H373" s="27"/>
      <c r="I373" s="6"/>
      <c r="J373" s="6"/>
      <c r="K373" s="6"/>
      <c r="L373" s="6"/>
      <c r="M373" s="6"/>
      <c r="N373" s="6"/>
      <c r="O373" s="27" t="s">
        <v>862</v>
      </c>
      <c r="P373" s="34"/>
      <c r="Q373" s="34" t="s">
        <v>1357</v>
      </c>
      <c r="R373" s="29"/>
    </row>
    <row r="374" spans="1:18" ht="17.25" customHeight="1">
      <c r="A374" s="44" t="s">
        <v>354</v>
      </c>
      <c r="B374" s="23" t="str" cm="1">
        <f t="array" ref="B374">_xlfn.TEXTJOIN(", ", TRUE(), _xlfn._xlws.FILTER(Spkrs_Rcrdngs[Speaker],Spkrs_Rcrdngs[Recording]=Rcrdngs[[#This Row],[Text]],"[no speaker selected in Speakers_in_Recordings]"))</f>
        <v>Harran02, Ceylanpinar04</v>
      </c>
      <c r="C374" s="41" t="str" cm="1">
        <f t="array" ref="C374">_xlfn.TEXTJOIN(", ", TRUE(), _xlfn._xlws.FILTER(Sbcts_Rcrdngs[Subject],Sbcts_Rcrdngs[Recording]=Rcrdngs[[#This Row],[Text]],"[no subject selected in Subjects_in_Recordings]"))</f>
        <v>Tribe's Leader, Tribe Farman, People who know a lot, Tribe's Importance, Liras, Morals</v>
      </c>
      <c r="D374" s="25">
        <v>44808</v>
      </c>
      <c r="E374" s="26" t="s">
        <v>1358</v>
      </c>
      <c r="F374" s="27" t="s">
        <v>1202</v>
      </c>
      <c r="G374" s="27" t="s">
        <v>605</v>
      </c>
      <c r="H374" s="27"/>
      <c r="I374" s="6"/>
      <c r="J374" s="6"/>
      <c r="K374" s="6"/>
      <c r="L374" s="6"/>
      <c r="M374" s="6"/>
      <c r="N374" s="6"/>
      <c r="O374" s="27" t="s">
        <v>862</v>
      </c>
      <c r="P374" s="34"/>
      <c r="Q374" s="34" t="s">
        <v>1359</v>
      </c>
      <c r="R374" s="29"/>
    </row>
    <row r="375" spans="1:18" ht="17.25" customHeight="1">
      <c r="A375" s="44" t="s">
        <v>355</v>
      </c>
      <c r="B375" s="23" t="str" cm="1">
        <f t="array" ref="B375">_xlfn.TEXTJOIN(", ", TRUE(), _xlfn._xlws.FILTER(Spkrs_Rcrdngs[Speaker],Spkrs_Rcrdngs[Recording]=Rcrdngs[[#This Row],[Text]],"[no speaker selected in Speakers_in_Recordings]"))</f>
        <v>Harran02, Ceylanpinar04</v>
      </c>
      <c r="C375" s="41" t="str" cm="1">
        <f t="array" ref="C375">_xlfn.TEXTJOIN(", ", TRUE(), _xlfn._xlws.FILTER(Sbcts_Rcrdngs[Subject],Sbcts_Rcrdngs[Recording]=Rcrdngs[[#This Row],[Text]],"[no subject selected in Subjects_in_Recordings]"))</f>
        <v>Tribe's Importance, Fight with Syrians, Syrians being bad, Syria</v>
      </c>
      <c r="D375" s="25">
        <v>44808</v>
      </c>
      <c r="E375" s="26" t="s">
        <v>1360</v>
      </c>
      <c r="F375" s="27" t="s">
        <v>1202</v>
      </c>
      <c r="G375" s="27" t="s">
        <v>605</v>
      </c>
      <c r="H375" s="27"/>
      <c r="I375" s="6"/>
      <c r="J375" s="6"/>
      <c r="K375" s="6"/>
      <c r="L375" s="6"/>
      <c r="M375" s="6"/>
      <c r="N375" s="6"/>
      <c r="O375" s="27" t="s">
        <v>862</v>
      </c>
      <c r="P375" s="34"/>
      <c r="Q375" s="34" t="s">
        <v>1361</v>
      </c>
      <c r="R375" s="29"/>
    </row>
    <row r="376" spans="1:18" ht="17.25" customHeight="1">
      <c r="A376" s="44" t="s">
        <v>356</v>
      </c>
      <c r="B376" s="23" t="str" cm="1">
        <f t="array" ref="B376">_xlfn.TEXTJOIN(", ", TRUE(), _xlfn._xlws.FILTER(Spkrs_Rcrdngs[Speaker],Spkrs_Rcrdngs[Recording]=Rcrdngs[[#This Row],[Text]],"[no speaker selected in Speakers_in_Recordings]"))</f>
        <v>Harran02, Ceylanpinar04</v>
      </c>
      <c r="C376" s="41" t="str" cm="1">
        <f t="array" ref="C376">_xlfn.TEXTJOIN(", ", TRUE(), _xlfn._xlws.FILTER(Sbcts_Rcrdngs[Subject],Sbcts_Rcrdngs[Recording]=Rcrdngs[[#This Row],[Text]],"[no subject selected in Subjects_in_Recordings]"))</f>
        <v>Tribe Baggara, Tribe History, Lands</v>
      </c>
      <c r="D376" s="25">
        <v>44808</v>
      </c>
      <c r="E376" s="26" t="s">
        <v>1358</v>
      </c>
      <c r="F376" s="27" t="s">
        <v>1202</v>
      </c>
      <c r="G376" s="27" t="s">
        <v>605</v>
      </c>
      <c r="H376" s="27"/>
      <c r="I376" s="6"/>
      <c r="J376" s="6"/>
      <c r="K376" s="6"/>
      <c r="L376" s="6"/>
      <c r="M376" s="6"/>
      <c r="N376" s="6"/>
      <c r="O376" s="27" t="s">
        <v>862</v>
      </c>
      <c r="P376" s="34"/>
      <c r="Q376" s="34" t="s">
        <v>1362</v>
      </c>
      <c r="R376" s="29"/>
    </row>
    <row r="377" spans="1:18" ht="17.25" customHeight="1">
      <c r="A377" s="44" t="s">
        <v>357</v>
      </c>
      <c r="B377" s="23" t="str" cm="1">
        <f t="array" ref="B377">_xlfn.TEXTJOIN(", ", TRUE(), _xlfn._xlws.FILTER(Spkrs_Rcrdngs[Speaker],Spkrs_Rcrdngs[Recording]=Rcrdngs[[#This Row],[Text]],"[no speaker selected in Speakers_in_Recordings]"))</f>
        <v>Harran02, Ceylanpinar04</v>
      </c>
      <c r="C377" s="41" t="str" cm="1">
        <f t="array" ref="C377">_xlfn.TEXTJOIN(", ", TRUE(), _xlfn._xlws.FILTER(Sbcts_Rcrdngs[Subject],Sbcts_Rcrdngs[Recording]=Rcrdngs[[#This Row],[Text]],"[no subject selected in Subjects_in_Recordings]"))</f>
        <v>Working honestly, Story, Politics</v>
      </c>
      <c r="D377" s="25">
        <v>44808</v>
      </c>
      <c r="E377" s="26" t="s">
        <v>1363</v>
      </c>
      <c r="F377" s="27" t="s">
        <v>1202</v>
      </c>
      <c r="G377" s="27" t="s">
        <v>605</v>
      </c>
      <c r="H377" s="27"/>
      <c r="I377" s="6"/>
      <c r="J377" s="6"/>
      <c r="K377" s="6"/>
      <c r="L377" s="6"/>
      <c r="M377" s="6"/>
      <c r="N377" s="6"/>
      <c r="O377" s="27" t="s">
        <v>862</v>
      </c>
      <c r="P377" s="34"/>
      <c r="Q377" s="34" t="s">
        <v>1364</v>
      </c>
      <c r="R377" s="29"/>
    </row>
    <row r="378" spans="1:18" ht="17.25" customHeight="1">
      <c r="A378" s="44" t="s">
        <v>358</v>
      </c>
      <c r="B378" s="23" t="str" cm="1">
        <f t="array" ref="B378">_xlfn.TEXTJOIN(", ", TRUE(), _xlfn._xlws.FILTER(Spkrs_Rcrdngs[Speaker],Spkrs_Rcrdngs[Recording]=Rcrdngs[[#This Row],[Text]],"[no speaker selected in Speakers_in_Recordings]"))</f>
        <v>Harran02, Ceylanpinar04</v>
      </c>
      <c r="C378" s="41" t="str" cm="1">
        <f t="array" ref="C378">_xlfn.TEXTJOIN(", ", TRUE(), _xlfn._xlws.FILTER(Sbcts_Rcrdngs[Subject],Sbcts_Rcrdngs[Recording]=Rcrdngs[[#This Row],[Text]],"[no subject selected in Subjects_in_Recordings]"))</f>
        <v>Fairness, Kurds, Speaking Arabic, Clothes, Driving</v>
      </c>
      <c r="D378" s="25">
        <v>44808</v>
      </c>
      <c r="E378" s="26" t="s">
        <v>1365</v>
      </c>
      <c r="F378" s="27" t="s">
        <v>1202</v>
      </c>
      <c r="G378" s="27" t="s">
        <v>605</v>
      </c>
      <c r="H378" s="27"/>
      <c r="I378" s="6"/>
      <c r="J378" s="6"/>
      <c r="K378" s="6"/>
      <c r="L378" s="6"/>
      <c r="M378" s="6"/>
      <c r="N378" s="6"/>
      <c r="O378" s="27" t="s">
        <v>862</v>
      </c>
      <c r="P378" s="34"/>
      <c r="Q378" s="34" t="s">
        <v>1366</v>
      </c>
      <c r="R378" s="29"/>
    </row>
    <row r="379" spans="1:18" ht="17.25" customHeight="1">
      <c r="A379" s="44" t="s">
        <v>359</v>
      </c>
      <c r="B379" s="23" t="str" cm="1">
        <f t="array" ref="B379">_xlfn.TEXTJOIN(", ", TRUE(), _xlfn._xlws.FILTER(Spkrs_Rcrdngs[Speaker],Spkrs_Rcrdngs[Recording]=Rcrdngs[[#This Row],[Text]],"[no speaker selected in Speakers_in_Recordings]"))</f>
        <v>Harran02, Ceylanpinar03</v>
      </c>
      <c r="C379" s="41" t="str" cm="1">
        <f t="array" ref="C379">_xlfn.TEXTJOIN(", ", TRUE(), _xlfn._xlws.FILTER(Sbcts_Rcrdngs[Subject],Sbcts_Rcrdngs[Recording]=Rcrdngs[[#This Row],[Text]],"[no subject selected in Subjects_in_Recordings]"))</f>
        <v>Wars in Former Times</v>
      </c>
      <c r="D379" s="25">
        <v>44808</v>
      </c>
      <c r="E379" s="26" t="s">
        <v>1367</v>
      </c>
      <c r="F379" s="27" t="s">
        <v>1202</v>
      </c>
      <c r="G379" s="27" t="s">
        <v>605</v>
      </c>
      <c r="H379" s="27"/>
      <c r="I379" s="6"/>
      <c r="J379" s="6"/>
      <c r="K379" s="6"/>
      <c r="L379" s="6"/>
      <c r="M379" s="6"/>
      <c r="N379" s="6"/>
      <c r="O379" s="27" t="s">
        <v>862</v>
      </c>
      <c r="P379" s="34"/>
      <c r="Q379" s="34" t="s">
        <v>1368</v>
      </c>
      <c r="R379" s="29"/>
    </row>
    <row r="380" spans="1:18" ht="17.25" customHeight="1">
      <c r="A380" s="44" t="s">
        <v>360</v>
      </c>
      <c r="B380" s="23" t="str" cm="1">
        <f t="array" ref="B380">_xlfn.TEXTJOIN(", ", TRUE(), _xlfn._xlws.FILTER(Spkrs_Rcrdngs[Speaker],Spkrs_Rcrdngs[Recording]=Rcrdngs[[#This Row],[Text]],"[no speaker selected in Speakers_in_Recordings]"))</f>
        <v>Harran02, Ceylanpinar03</v>
      </c>
      <c r="C380" s="41" t="str" cm="1">
        <f t="array" ref="C380">_xlfn.TEXTJOIN(", ", TRUE(), _xlfn._xlws.FILTER(Sbcts_Rcrdngs[Subject],Sbcts_Rcrdngs[Recording]=Rcrdngs[[#This Row],[Text]],"[no subject selected in Subjects_in_Recordings]"))</f>
        <v>Wars among Tribes, Kurds, Al-Milliyye, Family Story, Old Wars, Refugee</v>
      </c>
      <c r="D380" s="25">
        <v>44808</v>
      </c>
      <c r="E380" s="26" t="s">
        <v>1369</v>
      </c>
      <c r="F380" s="27" t="s">
        <v>1202</v>
      </c>
      <c r="G380" s="27" t="s">
        <v>605</v>
      </c>
      <c r="H380" s="27"/>
      <c r="I380" s="6"/>
      <c r="J380" s="6"/>
      <c r="K380" s="6"/>
      <c r="L380" s="6"/>
      <c r="M380" s="6"/>
      <c r="N380" s="6"/>
      <c r="O380" s="27" t="s">
        <v>862</v>
      </c>
      <c r="P380" s="34"/>
      <c r="Q380" s="34" t="s">
        <v>1370</v>
      </c>
      <c r="R380" s="29"/>
    </row>
    <row r="381" spans="1:18" ht="17.25" customHeight="1">
      <c r="A381" s="44" t="s">
        <v>361</v>
      </c>
      <c r="B381" s="23" t="str" cm="1">
        <f t="array" ref="B381">_xlfn.TEXTJOIN(", ", TRUE(), _xlfn._xlws.FILTER(Spkrs_Rcrdngs[Speaker],Spkrs_Rcrdngs[Recording]=Rcrdngs[[#This Row],[Text]],"[no speaker selected in Speakers_in_Recordings]"))</f>
        <v>Harran02, Ceylanpinar03</v>
      </c>
      <c r="C381" s="41" t="str" cm="1">
        <f t="array" ref="C381">_xlfn.TEXTJOIN(", ", TRUE(), _xlfn._xlws.FILTER(Sbcts_Rcrdngs[Subject],Sbcts_Rcrdngs[Recording]=Rcrdngs[[#This Row],[Text]],"[no subject selected in Subjects_in_Recordings]"))</f>
        <v>Pasha's Good Deed, Old Times, Al-Aeleki, Back ups in Fights</v>
      </c>
      <c r="D381" s="25">
        <v>44808</v>
      </c>
      <c r="E381" s="26" t="s">
        <v>1367</v>
      </c>
      <c r="F381" s="27" t="s">
        <v>1202</v>
      </c>
      <c r="G381" s="27" t="s">
        <v>605</v>
      </c>
      <c r="H381" s="27"/>
      <c r="I381" s="6"/>
      <c r="J381" s="6"/>
      <c r="K381" s="6"/>
      <c r="L381" s="6"/>
      <c r="M381" s="6"/>
      <c r="N381" s="6"/>
      <c r="O381" s="27" t="s">
        <v>862</v>
      </c>
      <c r="P381" s="34"/>
      <c r="Q381" s="34" t="s">
        <v>1371</v>
      </c>
      <c r="R381" s="29"/>
    </row>
    <row r="382" spans="1:18" ht="17.25" customHeight="1">
      <c r="A382" s="44" t="s">
        <v>362</v>
      </c>
      <c r="B382" s="23" t="str" cm="1">
        <f t="array" ref="B382">_xlfn.TEXTJOIN(", ", TRUE(), _xlfn._xlws.FILTER(Spkrs_Rcrdngs[Speaker],Spkrs_Rcrdngs[Recording]=Rcrdngs[[#This Row],[Text]],"[no speaker selected in Speakers_in_Recordings]"))</f>
        <v>Harran02, Ceylanpinar03</v>
      </c>
      <c r="C382" s="41" t="str" cm="1">
        <f t="array" ref="C382">_xlfn.TEXTJOIN(", ", TRUE(), _xlfn._xlws.FILTER(Sbcts_Rcrdngs[Subject],Sbcts_Rcrdngs[Recording]=Rcrdngs[[#This Row],[Text]],"[no subject selected in Subjects_in_Recordings]"))</f>
        <v>Personal Story, Kurds, Wars in Former Times</v>
      </c>
      <c r="D382" s="25">
        <v>44808</v>
      </c>
      <c r="E382" s="26" t="s">
        <v>1372</v>
      </c>
      <c r="F382" s="27" t="s">
        <v>1202</v>
      </c>
      <c r="G382" s="27" t="s">
        <v>605</v>
      </c>
      <c r="H382" s="27"/>
      <c r="I382" s="6"/>
      <c r="J382" s="6"/>
      <c r="K382" s="6"/>
      <c r="L382" s="6"/>
      <c r="M382" s="6"/>
      <c r="N382" s="6"/>
      <c r="O382" s="27" t="s">
        <v>862</v>
      </c>
      <c r="P382" s="34"/>
      <c r="Q382" s="34" t="s">
        <v>1373</v>
      </c>
      <c r="R382" s="29"/>
    </row>
    <row r="383" spans="1:18" ht="17.25" customHeight="1">
      <c r="A383" s="44" t="s">
        <v>363</v>
      </c>
      <c r="B383" s="23" t="str" cm="1">
        <f t="array" ref="B383">_xlfn.TEXTJOIN(", ", TRUE(), _xlfn._xlws.FILTER(Spkrs_Rcrdngs[Speaker],Spkrs_Rcrdngs[Recording]=Rcrdngs[[#This Row],[Text]],"[no speaker selected in Speakers_in_Recordings]"))</f>
        <v>Harran02, Ceylanpinar01</v>
      </c>
      <c r="C383" s="41" t="str" cm="1">
        <f t="array" ref="C383">_xlfn.TEXTJOIN(", ", TRUE(), _xlfn._xlws.FILTER(Sbcts_Rcrdngs[Subject],Sbcts_Rcrdngs[Recording]=Rcrdngs[[#This Row],[Text]],"[no subject selected in Subjects_in_Recordings]"))</f>
        <v>God's Greatness, People, True Friends, Smart Women</v>
      </c>
      <c r="D383" s="25">
        <v>44814</v>
      </c>
      <c r="E383" s="26" t="s">
        <v>1374</v>
      </c>
      <c r="F383" s="27" t="s">
        <v>1202</v>
      </c>
      <c r="G383" s="27" t="s">
        <v>605</v>
      </c>
      <c r="H383" s="27"/>
      <c r="I383" s="6"/>
      <c r="J383" s="6"/>
      <c r="K383" s="6"/>
      <c r="L383" s="6"/>
      <c r="M383" s="6"/>
      <c r="N383" s="6"/>
      <c r="O383" s="27" t="s">
        <v>862</v>
      </c>
      <c r="P383" s="34"/>
      <c r="Q383" s="34" t="s">
        <v>1375</v>
      </c>
      <c r="R383" s="29"/>
    </row>
    <row r="384" spans="1:18" ht="17.25" customHeight="1">
      <c r="A384" s="44" t="s">
        <v>364</v>
      </c>
      <c r="B384" s="23" t="str" cm="1">
        <f t="array" ref="B384">_xlfn.TEXTJOIN(", ", TRUE(), _xlfn._xlws.FILTER(Spkrs_Rcrdngs[Speaker],Spkrs_Rcrdngs[Recording]=Rcrdngs[[#This Row],[Text]],"[no speaker selected in Speakers_in_Recordings]"))</f>
        <v>Harran02, Ceylanpinar01</v>
      </c>
      <c r="C384" s="41" t="str" cm="1">
        <f t="array" ref="C384">_xlfn.TEXTJOIN(", ", TRUE(), _xlfn._xlws.FILTER(Sbcts_Rcrdngs[Subject],Sbcts_Rcrdngs[Recording]=Rcrdngs[[#This Row],[Text]],"[no subject selected in Subjects_in_Recordings]"))</f>
        <v>Brave Man, Generosity among Friends, Cheapness, Lands</v>
      </c>
      <c r="D384" s="25">
        <v>44814</v>
      </c>
      <c r="E384" s="26" t="s">
        <v>1376</v>
      </c>
      <c r="F384" s="27" t="s">
        <v>1202</v>
      </c>
      <c r="G384" s="27" t="s">
        <v>605</v>
      </c>
      <c r="H384" s="27"/>
      <c r="I384" s="6"/>
      <c r="J384" s="6"/>
      <c r="K384" s="6"/>
      <c r="L384" s="6"/>
      <c r="M384" s="6"/>
      <c r="N384" s="6"/>
      <c r="O384" s="27" t="s">
        <v>862</v>
      </c>
      <c r="P384" s="34"/>
      <c r="Q384" s="34" t="s">
        <v>1377</v>
      </c>
      <c r="R384" s="29"/>
    </row>
    <row r="385" spans="1:18" ht="17.25" customHeight="1">
      <c r="A385" s="44" t="s">
        <v>365</v>
      </c>
      <c r="B385" s="23" t="str" cm="1">
        <f t="array" ref="B385">_xlfn.TEXTJOIN(", ", TRUE(), _xlfn._xlws.FILTER(Spkrs_Rcrdngs[Speaker],Spkrs_Rcrdngs[Recording]=Rcrdngs[[#This Row],[Text]],"[no speaker selected in Speakers_in_Recordings]"))</f>
        <v>Harran02, Harran03, Harran04</v>
      </c>
      <c r="C385" s="41" t="str" cm="1">
        <f t="array" ref="C385">_xlfn.TEXTJOIN(", ", TRUE(), _xlfn._xlws.FILTER(Sbcts_Rcrdngs[Subject],Sbcts_Rcrdngs[Recording]=Rcrdngs[[#This Row],[Text]],"[no subject selected in Subjects_in_Recordings]"))</f>
        <v>Burgul, Spending Money, The Internet</v>
      </c>
      <c r="D385" s="25">
        <v>44815</v>
      </c>
      <c r="E385" s="26" t="s">
        <v>1378</v>
      </c>
      <c r="F385" s="27" t="s">
        <v>1202</v>
      </c>
      <c r="G385" s="27" t="s">
        <v>605</v>
      </c>
      <c r="H385" s="27"/>
      <c r="I385" s="6"/>
      <c r="J385" s="6"/>
      <c r="K385" s="6"/>
      <c r="L385" s="6"/>
      <c r="M385" s="6"/>
      <c r="N385" s="6"/>
      <c r="O385" s="27" t="s">
        <v>862</v>
      </c>
      <c r="P385" s="34"/>
      <c r="Q385" s="34" t="s">
        <v>1379</v>
      </c>
      <c r="R385" s="29"/>
    </row>
    <row r="386" spans="1:18" ht="17.25" customHeight="1">
      <c r="A386" s="44" t="s">
        <v>366</v>
      </c>
      <c r="B386" s="23" t="str" cm="1">
        <f t="array" ref="B386">_xlfn.TEXTJOIN(", ", TRUE(), _xlfn._xlws.FILTER(Spkrs_Rcrdngs[Speaker],Spkrs_Rcrdngs[Recording]=Rcrdngs[[#This Row],[Text]],"[no speaker selected in Speakers_in_Recordings]"))</f>
        <v>Harran02, Ziyara01</v>
      </c>
      <c r="C386" s="41" t="str" cm="1">
        <f t="array" ref="C386">_xlfn.TEXTJOIN(", ", TRUE(), _xlfn._xlws.FILTER(Sbcts_Rcrdngs[Subject],Sbcts_Rcrdngs[Recording]=Rcrdngs[[#This Row],[Text]],"[no subject selected in Subjects_in_Recordings]"))</f>
        <v>3 Brothers, Smart Man</v>
      </c>
      <c r="D386" s="25">
        <v>44838</v>
      </c>
      <c r="E386" s="26" t="s">
        <v>1380</v>
      </c>
      <c r="F386" s="27" t="s">
        <v>1202</v>
      </c>
      <c r="G386" s="27" t="s">
        <v>605</v>
      </c>
      <c r="H386" s="27"/>
      <c r="I386" s="6"/>
      <c r="J386" s="6"/>
      <c r="K386" s="6"/>
      <c r="L386" s="6"/>
      <c r="M386" s="6"/>
      <c r="N386" s="6"/>
      <c r="O386" s="27" t="s">
        <v>862</v>
      </c>
      <c r="P386" s="34"/>
      <c r="Q386" s="34" t="s">
        <v>1381</v>
      </c>
      <c r="R386" s="29"/>
    </row>
    <row r="387" spans="1:18" ht="17.25" customHeight="1">
      <c r="A387" s="44" t="s">
        <v>367</v>
      </c>
      <c r="B387" s="23" t="str" cm="1">
        <f t="array" ref="B387">_xlfn.TEXTJOIN(", ", TRUE(), _xlfn._xlws.FILTER(Spkrs_Rcrdngs[Speaker],Spkrs_Rcrdngs[Recording]=Rcrdngs[[#This Row],[Text]],"[no speaker selected in Speakers_in_Recordings]"))</f>
        <v>Harran02, Ziyara01</v>
      </c>
      <c r="C387" s="41" t="str" cm="1">
        <f t="array" ref="C387">_xlfn.TEXTJOIN(", ", TRUE(), _xlfn._xlws.FILTER(Sbcts_Rcrdngs[Subject],Sbcts_Rcrdngs[Recording]=Rcrdngs[[#This Row],[Text]],"[no subject selected in Subjects_in_Recordings]"))</f>
        <v>A Man's Story</v>
      </c>
      <c r="D387" s="25">
        <v>44838</v>
      </c>
      <c r="E387" s="26" t="s">
        <v>1382</v>
      </c>
      <c r="F387" s="27" t="s">
        <v>1202</v>
      </c>
      <c r="G387" s="27" t="s">
        <v>605</v>
      </c>
      <c r="H387" s="27"/>
      <c r="I387" s="6"/>
      <c r="J387" s="6"/>
      <c r="K387" s="6"/>
      <c r="L387" s="6"/>
      <c r="M387" s="6"/>
      <c r="N387" s="6"/>
      <c r="O387" s="27" t="s">
        <v>862</v>
      </c>
      <c r="P387" s="34"/>
      <c r="Q387" s="34" t="s">
        <v>1383</v>
      </c>
      <c r="R387" s="29"/>
    </row>
    <row r="388" spans="1:18" ht="17.25" customHeight="1">
      <c r="A388" s="44" t="s">
        <v>368</v>
      </c>
      <c r="B388" s="23" t="str" cm="1">
        <f t="array" ref="B388">_xlfn.TEXTJOIN(", ", TRUE(), _xlfn._xlws.FILTER(Spkrs_Rcrdngs[Speaker],Spkrs_Rcrdngs[Recording]=Rcrdngs[[#This Row],[Text]],"[no speaker selected in Speakers_in_Recordings]"))</f>
        <v>Harran02, Ziyara01</v>
      </c>
      <c r="C388" s="41" t="str" cm="1">
        <f t="array" ref="C388">_xlfn.TEXTJOIN(", ", TRUE(), _xlfn._xlws.FILTER(Sbcts_Rcrdngs[Subject],Sbcts_Rcrdngs[Recording]=Rcrdngs[[#This Row],[Text]],"[no subject selected in Subjects_in_Recordings]"))</f>
        <v>Jaber al-Ansari</v>
      </c>
      <c r="D388" s="25">
        <v>44866</v>
      </c>
      <c r="E388" s="26" t="s">
        <v>1384</v>
      </c>
      <c r="F388" s="27" t="s">
        <v>861</v>
      </c>
      <c r="G388" s="27" t="s">
        <v>605</v>
      </c>
      <c r="H388" s="27"/>
      <c r="I388" s="6"/>
      <c r="J388" s="6"/>
      <c r="K388" s="6"/>
      <c r="L388" s="6"/>
      <c r="M388" s="6"/>
      <c r="N388" s="6"/>
      <c r="O388" s="27" t="s">
        <v>862</v>
      </c>
      <c r="P388" s="34"/>
      <c r="Q388" s="34" t="s">
        <v>1385</v>
      </c>
      <c r="R388" s="29"/>
    </row>
    <row r="389" spans="1:18" ht="17.25" customHeight="1">
      <c r="A389" s="44" t="s">
        <v>369</v>
      </c>
      <c r="B389" s="23" t="str" cm="1">
        <f t="array" ref="B389">_xlfn.TEXTJOIN(", ", TRUE(), _xlfn._xlws.FILTER(Spkrs_Rcrdngs[Speaker],Spkrs_Rcrdngs[Recording]=Rcrdngs[[#This Row],[Text]],"[no speaker selected in Speakers_in_Recordings]"))</f>
        <v>Harran02, Ziyara01</v>
      </c>
      <c r="C389" s="41" t="str" cm="1">
        <f t="array" ref="C389">_xlfn.TEXTJOIN(", ", TRUE(), _xlfn._xlws.FILTER(Sbcts_Rcrdngs[Subject],Sbcts_Rcrdngs[Recording]=Rcrdngs[[#This Row],[Text]],"[no subject selected in Subjects_in_Recordings]"))</f>
        <v>Names of Sheep</v>
      </c>
      <c r="D389" s="25">
        <v>44866</v>
      </c>
      <c r="E389" s="26" t="s">
        <v>1386</v>
      </c>
      <c r="F389" s="27" t="s">
        <v>861</v>
      </c>
      <c r="G389" s="27" t="s">
        <v>605</v>
      </c>
      <c r="H389" s="27"/>
      <c r="I389" s="6"/>
      <c r="J389" s="6"/>
      <c r="K389" s="6"/>
      <c r="L389" s="6"/>
      <c r="M389" s="6"/>
      <c r="N389" s="6"/>
      <c r="O389" s="27" t="s">
        <v>862</v>
      </c>
      <c r="P389" s="34"/>
      <c r="Q389" s="34" t="s">
        <v>1387</v>
      </c>
      <c r="R389" s="29"/>
    </row>
    <row r="390" spans="1:18" ht="17.25" customHeight="1">
      <c r="A390" s="44" t="s">
        <v>370</v>
      </c>
      <c r="B390" s="23" t="str" cm="1">
        <f t="array" ref="B390">_xlfn.TEXTJOIN(", ", TRUE(), _xlfn._xlws.FILTER(Spkrs_Rcrdngs[Speaker],Spkrs_Rcrdngs[Recording]=Rcrdngs[[#This Row],[Text]],"[no speaker selected in Speakers_in_Recordings]"))</f>
        <v>Harran02, Ziyara01</v>
      </c>
      <c r="C390" s="24" t="str" cm="1">
        <f t="array" ref="C390">_xlfn.TEXTJOIN(", ", TRUE(), _xlfn._xlws.FILTER(Sbcts_Rcrdngs[Subject],Sbcts_Rcrdngs[Recording]=Rcrdngs[[#This Row],[Text]],"[no subject selected in Subjects_in_Recordings]"))</f>
        <v>Large Bird</v>
      </c>
      <c r="D390" s="25">
        <v>44866</v>
      </c>
      <c r="E390" s="26" t="s">
        <v>1388</v>
      </c>
      <c r="F390" s="27" t="s">
        <v>861</v>
      </c>
      <c r="G390" s="27" t="s">
        <v>605</v>
      </c>
      <c r="H390" s="27"/>
      <c r="I390" s="6"/>
      <c r="J390" s="6"/>
      <c r="K390" s="6"/>
      <c r="L390" s="6"/>
      <c r="M390" s="6"/>
      <c r="N390" s="6"/>
      <c r="O390" s="27" t="s">
        <v>862</v>
      </c>
      <c r="P390" s="34"/>
      <c r="Q390" s="28" t="s">
        <v>1389</v>
      </c>
      <c r="R390" s="29"/>
    </row>
    <row r="391" spans="1:18" ht="17.25" customHeight="1">
      <c r="A391" s="44" t="s">
        <v>371</v>
      </c>
      <c r="B391" s="23" t="str" cm="1">
        <f t="array" ref="B391">_xlfn.TEXTJOIN(", ", TRUE(), _xlfn._xlws.FILTER(Spkrs_Rcrdngs[Speaker],Spkrs_Rcrdngs[Recording]=Rcrdngs[[#This Row],[Text]],"[no speaker selected in Speakers_in_Recordings]"))</f>
        <v>Ziyara01</v>
      </c>
      <c r="C391" s="41" t="str" cm="1">
        <f t="array" ref="C391">_xlfn.TEXTJOIN(", ", TRUE(), _xlfn._xlws.FILTER(Sbcts_Rcrdngs[Subject],Sbcts_Rcrdngs[Recording]=Rcrdngs[[#This Row],[Text]],"[no subject selected in Subjects_in_Recordings]"))</f>
        <v>Large Bird</v>
      </c>
      <c r="D391" s="25">
        <v>44866</v>
      </c>
      <c r="E391" s="26" t="s">
        <v>1390</v>
      </c>
      <c r="F391" s="27" t="s">
        <v>861</v>
      </c>
      <c r="G391" s="27" t="s">
        <v>605</v>
      </c>
      <c r="H391" s="27"/>
      <c r="I391" s="6"/>
      <c r="J391" s="6"/>
      <c r="K391" s="6"/>
      <c r="L391" s="6"/>
      <c r="M391" s="6"/>
      <c r="N391" s="6"/>
      <c r="O391" s="27" t="s">
        <v>862</v>
      </c>
      <c r="P391" s="34"/>
      <c r="Q391" s="34" t="s">
        <v>1391</v>
      </c>
      <c r="R391" s="29"/>
    </row>
    <row r="392" spans="1:18" ht="17.25" customHeight="1">
      <c r="A392" s="44" t="s">
        <v>372</v>
      </c>
      <c r="B392" s="23" t="str" cm="1">
        <f t="array" ref="B392">_xlfn.TEXTJOIN(", ", TRUE(), _xlfn._xlws.FILTER(Spkrs_Rcrdngs[Speaker],Spkrs_Rcrdngs[Recording]=Rcrdngs[[#This Row],[Text]],"[no speaker selected in Speakers_in_Recordings]"))</f>
        <v>Ziyara01</v>
      </c>
      <c r="C392" s="41" t="str" cm="1">
        <f t="array" ref="C392">_xlfn.TEXTJOIN(", ", TRUE(), _xlfn._xlws.FILTER(Sbcts_Rcrdngs[Subject],Sbcts_Rcrdngs[Recording]=Rcrdngs[[#This Row],[Text]],"[no subject selected in Subjects_in_Recordings]"))</f>
        <v>Prophet Suleyman, Bilqis</v>
      </c>
      <c r="D392" s="25">
        <v>44866</v>
      </c>
      <c r="E392" s="26" t="s">
        <v>1392</v>
      </c>
      <c r="F392" s="27" t="s">
        <v>861</v>
      </c>
      <c r="G392" s="27" t="s">
        <v>605</v>
      </c>
      <c r="H392" s="27"/>
      <c r="I392" s="6"/>
      <c r="J392" s="6"/>
      <c r="K392" s="6"/>
      <c r="L392" s="6"/>
      <c r="M392" s="6"/>
      <c r="N392" s="6"/>
      <c r="O392" s="27" t="s">
        <v>862</v>
      </c>
      <c r="P392" s="34"/>
      <c r="Q392" s="34" t="s">
        <v>1393</v>
      </c>
      <c r="R392" s="29"/>
    </row>
    <row r="393" spans="1:18" ht="17.25" customHeight="1">
      <c r="A393" s="44" t="s">
        <v>373</v>
      </c>
      <c r="B393" s="23" t="str" cm="1">
        <f t="array" ref="B393">_xlfn.TEXTJOIN(", ", TRUE(), _xlfn._xlws.FILTER(Spkrs_Rcrdngs[Speaker],Spkrs_Rcrdngs[Recording]=Rcrdngs[[#This Row],[Text]],"[no speaker selected in Speakers_in_Recordings]"))</f>
        <v>Harran03</v>
      </c>
      <c r="C393" s="41" t="str" cm="1">
        <f t="array" ref="C393">_xlfn.TEXTJOIN(", ", TRUE(), _xlfn._xlws.FILTER(Sbcts_Rcrdngs[Subject],Sbcts_Rcrdngs[Recording]=Rcrdngs[[#This Row],[Text]],"[no subject selected in Subjects_in_Recordings]"))</f>
        <v>Childhood</v>
      </c>
      <c r="D393" s="25">
        <v>44866</v>
      </c>
      <c r="E393" s="26" t="s">
        <v>1394</v>
      </c>
      <c r="F393" s="27" t="s">
        <v>861</v>
      </c>
      <c r="G393" s="27" t="s">
        <v>605</v>
      </c>
      <c r="H393" s="27"/>
      <c r="I393" s="6"/>
      <c r="J393" s="6"/>
      <c r="K393" s="6"/>
      <c r="L393" s="6"/>
      <c r="M393" s="6"/>
      <c r="N393" s="6"/>
      <c r="O393" s="27" t="s">
        <v>862</v>
      </c>
      <c r="P393" s="34"/>
      <c r="Q393" s="34" t="s">
        <v>1395</v>
      </c>
      <c r="R393" s="29"/>
    </row>
    <row r="394" spans="1:18" ht="17.25" customHeight="1">
      <c r="A394" s="44" t="s">
        <v>374</v>
      </c>
      <c r="B394" s="23" t="str" cm="1">
        <f t="array" ref="B394">_xlfn.TEXTJOIN(", ", TRUE(), _xlfn._xlws.FILTER(Spkrs_Rcrdngs[Speaker],Spkrs_Rcrdngs[Recording]=Rcrdngs[[#This Row],[Text]],"[no speaker selected in Speakers_in_Recordings]"))</f>
        <v>Harran03</v>
      </c>
      <c r="C394" s="41" t="str" cm="1">
        <f t="array" ref="C394">_xlfn.TEXTJOIN(", ", TRUE(), _xlfn._xlws.FILTER(Sbcts_Rcrdngs[Subject],Sbcts_Rcrdngs[Recording]=Rcrdngs[[#This Row],[Text]],"[no subject selected in Subjects_in_Recordings]"))</f>
        <v>Childhood Stories</v>
      </c>
      <c r="D394" s="25">
        <v>44866</v>
      </c>
      <c r="E394" s="26" t="s">
        <v>1396</v>
      </c>
      <c r="F394" s="27" t="s">
        <v>861</v>
      </c>
      <c r="G394" s="27" t="s">
        <v>605</v>
      </c>
      <c r="H394" s="27"/>
      <c r="I394" s="6"/>
      <c r="J394" s="6"/>
      <c r="K394" s="6"/>
      <c r="L394" s="6"/>
      <c r="M394" s="6"/>
      <c r="N394" s="6"/>
      <c r="O394" s="27" t="s">
        <v>862</v>
      </c>
      <c r="P394" s="34"/>
      <c r="Q394" s="34" t="s">
        <v>1397</v>
      </c>
      <c r="R394" s="29"/>
    </row>
    <row r="395" spans="1:18" ht="17.25" customHeight="1">
      <c r="A395" s="44" t="s">
        <v>375</v>
      </c>
      <c r="B395" s="23" t="str" cm="1">
        <f t="array" ref="B395">_xlfn.TEXTJOIN(", ", TRUE(), _xlfn._xlws.FILTER(Spkrs_Rcrdngs[Speaker],Spkrs_Rcrdngs[Recording]=Rcrdngs[[#This Row],[Text]],"[no speaker selected in Speakers_in_Recordings]"))</f>
        <v>SiverekM</v>
      </c>
      <c r="C395" s="41" t="str" cm="1">
        <f t="array" ref="C395">_xlfn.TEXTJOIN(", ", TRUE(), _xlfn._xlws.FILTER(Sbcts_Rcrdngs[Subject],Sbcts_Rcrdngs[Recording]=Rcrdngs[[#This Row],[Text]],"[no subject selected in Subjects_in_Recordings]"))</f>
        <v>Conversations</v>
      </c>
      <c r="D395" s="25">
        <v>44867</v>
      </c>
      <c r="E395" s="26" t="s">
        <v>1398</v>
      </c>
      <c r="F395" s="27" t="s">
        <v>861</v>
      </c>
      <c r="G395" s="27" t="s">
        <v>605</v>
      </c>
      <c r="H395" s="27"/>
      <c r="I395" s="6"/>
      <c r="J395" s="6"/>
      <c r="K395" s="6"/>
      <c r="L395" s="6"/>
      <c r="M395" s="6"/>
      <c r="N395" s="6"/>
      <c r="O395" s="27" t="s">
        <v>862</v>
      </c>
      <c r="P395" s="34"/>
      <c r="Q395" s="34" t="s">
        <v>1399</v>
      </c>
      <c r="R395" s="29"/>
    </row>
    <row r="396" spans="1:18" ht="17.25" customHeight="1">
      <c r="A396" s="44" t="s">
        <v>376</v>
      </c>
      <c r="B396" s="23" t="str" cm="1">
        <f t="array" ref="B396">_xlfn.TEXTJOIN(", ", TRUE(), _xlfn._xlws.FILTER(Spkrs_Rcrdngs[Speaker],Spkrs_Rcrdngs[Recording]=Rcrdngs[[#This Row],[Text]],"[no speaker selected in Speakers_in_Recordings]"))</f>
        <v>SiverekM</v>
      </c>
      <c r="C396" s="41" t="str" cm="1">
        <f t="array" ref="C396">_xlfn.TEXTJOIN(", ", TRUE(), _xlfn._xlws.FILTER(Sbcts_Rcrdngs[Subject],Sbcts_Rcrdngs[Recording]=Rcrdngs[[#This Row],[Text]],"[no subject selected in Subjects_in_Recordings]"))</f>
        <v>Arab Alyan</v>
      </c>
      <c r="D396" s="25">
        <v>44867</v>
      </c>
      <c r="E396" s="26" t="s">
        <v>1400</v>
      </c>
      <c r="F396" s="27" t="s">
        <v>861</v>
      </c>
      <c r="G396" s="27" t="s">
        <v>605</v>
      </c>
      <c r="H396" s="27"/>
      <c r="I396" s="6"/>
      <c r="J396" s="6"/>
      <c r="K396" s="6"/>
      <c r="L396" s="6"/>
      <c r="M396" s="6"/>
      <c r="N396" s="6"/>
      <c r="O396" s="27" t="s">
        <v>862</v>
      </c>
      <c r="P396" s="34"/>
      <c r="Q396" s="34" t="s">
        <v>1401</v>
      </c>
      <c r="R396" s="29"/>
    </row>
    <row r="397" spans="1:18" ht="17.25" customHeight="1">
      <c r="A397" s="44" t="s">
        <v>377</v>
      </c>
      <c r="B397" s="23" t="str" cm="1">
        <f t="array" ref="B397">_xlfn.TEXTJOIN(", ", TRUE(), _xlfn._xlws.FILTER(Spkrs_Rcrdngs[Speaker],Spkrs_Rcrdngs[Recording]=Rcrdngs[[#This Row],[Text]],"[no speaker selected in Speakers_in_Recordings]"))</f>
        <v>SiverekM</v>
      </c>
      <c r="C397" s="24" t="str" cm="1">
        <f t="array" ref="C397">_xlfn.TEXTJOIN(", ", TRUE(), _xlfn._xlws.FILTER(Sbcts_Rcrdngs[Subject],Sbcts_Rcrdngs[Recording]=Rcrdngs[[#This Row],[Text]],"[no subject selected in Subjects_in_Recordings]"))</f>
        <v>Arabs</v>
      </c>
      <c r="D397" s="25">
        <v>44867</v>
      </c>
      <c r="E397" s="26" t="s">
        <v>1243</v>
      </c>
      <c r="F397" s="27" t="s">
        <v>861</v>
      </c>
      <c r="G397" s="27" t="s">
        <v>605</v>
      </c>
      <c r="H397" s="27"/>
      <c r="I397" s="6"/>
      <c r="J397" s="6"/>
      <c r="K397" s="6"/>
      <c r="L397" s="6"/>
      <c r="M397" s="6"/>
      <c r="N397" s="6"/>
      <c r="O397" s="27" t="s">
        <v>862</v>
      </c>
      <c r="P397" s="34"/>
      <c r="Q397" s="28" t="s">
        <v>1402</v>
      </c>
      <c r="R397" s="29"/>
    </row>
    <row r="398" spans="1:18" ht="17.25" customHeight="1">
      <c r="A398" s="44" t="s">
        <v>378</v>
      </c>
      <c r="B398" s="23" t="str" cm="1">
        <f t="array" ref="B398">_xlfn.TEXTJOIN(", ", TRUE(), _xlfn._xlws.FILTER(Spkrs_Rcrdngs[Speaker],Spkrs_Rcrdngs[Recording]=Rcrdngs[[#This Row],[Text]],"[no speaker selected in Speakers_in_Recordings]"))</f>
        <v>SiverekM</v>
      </c>
      <c r="C398" s="41" t="str" cm="1">
        <f t="array" ref="C398">_xlfn.TEXTJOIN(", ", TRUE(), _xlfn._xlws.FILTER(Sbcts_Rcrdngs[Subject],Sbcts_Rcrdngs[Recording]=Rcrdngs[[#This Row],[Text]],"[no subject selected in Subjects_in_Recordings]"))</f>
        <v>Stories</v>
      </c>
      <c r="D398" s="25">
        <v>44867</v>
      </c>
      <c r="E398" s="26" t="s">
        <v>643</v>
      </c>
      <c r="F398" s="27" t="s">
        <v>861</v>
      </c>
      <c r="G398" s="27" t="s">
        <v>605</v>
      </c>
      <c r="H398" s="27"/>
      <c r="I398" s="6"/>
      <c r="J398" s="6"/>
      <c r="K398" s="6"/>
      <c r="L398" s="6"/>
      <c r="M398" s="6"/>
      <c r="N398" s="6"/>
      <c r="O398" s="27" t="s">
        <v>862</v>
      </c>
      <c r="P398" s="34"/>
      <c r="Q398" s="34" t="s">
        <v>1403</v>
      </c>
      <c r="R398" s="29"/>
    </row>
    <row r="399" spans="1:18" ht="17.25" customHeight="1">
      <c r="A399" s="44" t="s">
        <v>379</v>
      </c>
      <c r="B399" s="23" t="str" cm="1">
        <f t="array" ref="B399">_xlfn.TEXTJOIN(", ", TRUE(), _xlfn._xlws.FILTER(Spkrs_Rcrdngs[Speaker],Spkrs_Rcrdngs[Recording]=Rcrdngs[[#This Row],[Text]],"[no speaker selected in Speakers_in_Recordings]"))</f>
        <v>SiverekM</v>
      </c>
      <c r="C399" s="41" t="str" cm="1">
        <f t="array" ref="C399">_xlfn.TEXTJOIN(", ", TRUE(), _xlfn._xlws.FILTER(Sbcts_Rcrdngs[Subject],Sbcts_Rcrdngs[Recording]=Rcrdngs[[#This Row],[Text]],"[no subject selected in Subjects_in_Recordings]"))</f>
        <v>Conversations</v>
      </c>
      <c r="D399" s="25">
        <v>44867</v>
      </c>
      <c r="E399" s="26" t="s">
        <v>1139</v>
      </c>
      <c r="F399" s="27" t="s">
        <v>861</v>
      </c>
      <c r="G399" s="27" t="s">
        <v>605</v>
      </c>
      <c r="H399" s="27"/>
      <c r="I399" s="6"/>
      <c r="J399" s="6"/>
      <c r="K399" s="6"/>
      <c r="L399" s="6"/>
      <c r="M399" s="6"/>
      <c r="N399" s="6"/>
      <c r="O399" s="27" t="s">
        <v>862</v>
      </c>
      <c r="P399" s="34"/>
      <c r="Q399" s="34" t="s">
        <v>1404</v>
      </c>
      <c r="R399" s="29"/>
    </row>
    <row r="400" spans="1:18" ht="17.25" customHeight="1">
      <c r="A400" s="44" t="s">
        <v>380</v>
      </c>
      <c r="B400" s="23" t="str" cm="1">
        <f t="array" ref="B400">_xlfn.TEXTJOIN(", ", TRUE(), _xlfn._xlws.FILTER(Spkrs_Rcrdngs[Speaker],Spkrs_Rcrdngs[Recording]=Rcrdngs[[#This Row],[Text]],"[no speaker selected in Speakers_in_Recordings]"))</f>
        <v>Mezra01</v>
      </c>
      <c r="C400" s="41" t="str" cm="1">
        <f t="array" ref="C400">_xlfn.TEXTJOIN(", ", TRUE(), _xlfn._xlws.FILTER(Sbcts_Rcrdngs[Subject],Sbcts_Rcrdngs[Recording]=Rcrdngs[[#This Row],[Text]],"[no subject selected in Subjects_in_Recordings]"))</f>
        <v>Village</v>
      </c>
      <c r="D400" s="25">
        <v>44868</v>
      </c>
      <c r="E400" s="26" t="s">
        <v>1143</v>
      </c>
      <c r="F400" s="27" t="s">
        <v>861</v>
      </c>
      <c r="G400" s="27" t="s">
        <v>605</v>
      </c>
      <c r="H400" s="27"/>
      <c r="I400" s="6"/>
      <c r="J400" s="6"/>
      <c r="K400" s="6"/>
      <c r="L400" s="6"/>
      <c r="M400" s="6"/>
      <c r="N400" s="6"/>
      <c r="O400" s="27" t="s">
        <v>862</v>
      </c>
      <c r="P400" s="34"/>
      <c r="Q400" s="34" t="s">
        <v>1405</v>
      </c>
      <c r="R400" s="29"/>
    </row>
    <row r="401" spans="1:18" ht="17.25" customHeight="1">
      <c r="A401" s="44" t="s">
        <v>381</v>
      </c>
      <c r="B401" s="23" t="str" cm="1">
        <f t="array" ref="B401">_xlfn.TEXTJOIN(", ", TRUE(), _xlfn._xlws.FILTER(Spkrs_Rcrdngs[Speaker],Spkrs_Rcrdngs[Recording]=Rcrdngs[[#This Row],[Text]],"[no speaker selected in Speakers_in_Recordings]"))</f>
        <v>Mezra01</v>
      </c>
      <c r="C401" s="24" t="str" cm="1">
        <f t="array" ref="C401">_xlfn.TEXTJOIN(", ", TRUE(), _xlfn._xlws.FILTER(Sbcts_Rcrdngs[Subject],Sbcts_Rcrdngs[Recording]=Rcrdngs[[#This Row],[Text]],"[no subject selected in Subjects_in_Recordings]"))</f>
        <v>Talks</v>
      </c>
      <c r="D401" s="25">
        <v>44868</v>
      </c>
      <c r="E401" s="26" t="s">
        <v>1406</v>
      </c>
      <c r="F401" s="27" t="s">
        <v>861</v>
      </c>
      <c r="G401" s="27" t="s">
        <v>605</v>
      </c>
      <c r="H401" s="27"/>
      <c r="I401" s="6"/>
      <c r="J401" s="6"/>
      <c r="K401" s="6"/>
      <c r="L401" s="6"/>
      <c r="M401" s="6"/>
      <c r="N401" s="6"/>
      <c r="O401" s="27" t="s">
        <v>862</v>
      </c>
      <c r="P401" s="34"/>
      <c r="Q401" s="28" t="s">
        <v>1407</v>
      </c>
      <c r="R401" s="29"/>
    </row>
    <row r="402" spans="1:18" ht="17.25" customHeight="1">
      <c r="A402" s="44" t="s">
        <v>382</v>
      </c>
      <c r="B402" s="23" t="str" cm="1">
        <f t="array" ref="B402">_xlfn.TEXTJOIN(", ", TRUE(), _xlfn._xlws.FILTER(Spkrs_Rcrdngs[Speaker],Spkrs_Rcrdngs[Recording]=Rcrdngs[[#This Row],[Text]],"[no speaker selected in Speakers_in_Recordings]"))</f>
        <v>Mezra01</v>
      </c>
      <c r="C402" s="41" t="str" cm="1">
        <f t="array" ref="C402">_xlfn.TEXTJOIN(", ", TRUE(), _xlfn._xlws.FILTER(Sbcts_Rcrdngs[Subject],Sbcts_Rcrdngs[Recording]=Rcrdngs[[#This Row],[Text]],"[no subject selected in Subjects_in_Recordings]"))</f>
        <v>Talks</v>
      </c>
      <c r="D402" s="25">
        <v>44868</v>
      </c>
      <c r="E402" s="26" t="s">
        <v>1120</v>
      </c>
      <c r="F402" s="27" t="s">
        <v>861</v>
      </c>
      <c r="G402" s="27" t="s">
        <v>605</v>
      </c>
      <c r="H402" s="27"/>
      <c r="I402" s="6"/>
      <c r="J402" s="6"/>
      <c r="K402" s="6"/>
      <c r="L402" s="6"/>
      <c r="M402" s="6"/>
      <c r="N402" s="6"/>
      <c r="O402" s="27" t="s">
        <v>862</v>
      </c>
      <c r="P402" s="34"/>
      <c r="Q402" s="34" t="s">
        <v>1408</v>
      </c>
      <c r="R402" s="29"/>
    </row>
    <row r="403" spans="1:18" ht="17.25" customHeight="1">
      <c r="A403" s="44" t="s">
        <v>383</v>
      </c>
      <c r="B403" s="23" t="str" cm="1">
        <f t="array" ref="B403">_xlfn.TEXTJOIN(", ", TRUE(), _xlfn._xlws.FILTER(Spkrs_Rcrdngs[Speaker],Spkrs_Rcrdngs[Recording]=Rcrdngs[[#This Row],[Text]],"[no speaker selected in Speakers_in_Recordings]"))</f>
        <v>Mezra01</v>
      </c>
      <c r="C403" s="41" t="str" cm="1">
        <f t="array" ref="C403">_xlfn.TEXTJOIN(", ", TRUE(), _xlfn._xlws.FILTER(Sbcts_Rcrdngs[Subject],Sbcts_Rcrdngs[Recording]=Rcrdngs[[#This Row],[Text]],"[no subject selected in Subjects_in_Recordings]"))</f>
        <v>Family</v>
      </c>
      <c r="D403" s="25">
        <v>44868</v>
      </c>
      <c r="E403" s="26" t="s">
        <v>1409</v>
      </c>
      <c r="F403" s="27" t="s">
        <v>861</v>
      </c>
      <c r="G403" s="27" t="s">
        <v>605</v>
      </c>
      <c r="H403" s="27"/>
      <c r="I403" s="6"/>
      <c r="J403" s="6"/>
      <c r="K403" s="6"/>
      <c r="L403" s="6"/>
      <c r="M403" s="6"/>
      <c r="N403" s="6"/>
      <c r="O403" s="27" t="s">
        <v>862</v>
      </c>
      <c r="P403" s="34"/>
      <c r="Q403" s="34" t="s">
        <v>1410</v>
      </c>
      <c r="R403" s="29"/>
    </row>
    <row r="404" spans="1:18" ht="17.25" customHeight="1">
      <c r="A404" s="44" t="s">
        <v>384</v>
      </c>
      <c r="B404" s="23" t="str" cm="1">
        <f t="array" ref="B404">_xlfn.TEXTJOIN(", ", TRUE(), _xlfn._xlws.FILTER(Spkrs_Rcrdngs[Speaker],Spkrs_Rcrdngs[Recording]=Rcrdngs[[#This Row],[Text]],"[no speaker selected in Speakers_in_Recordings]"))</f>
        <v>Mezra01</v>
      </c>
      <c r="C404" s="41" t="str" cm="1">
        <f t="array" ref="C404">_xlfn.TEXTJOIN(", ", TRUE(), _xlfn._xlws.FILTER(Sbcts_Rcrdngs[Subject],Sbcts_Rcrdngs[Recording]=Rcrdngs[[#This Row],[Text]],"[no subject selected in Subjects_in_Recordings]"))</f>
        <v>Village, Euphrate's Flooding</v>
      </c>
      <c r="D404" s="25">
        <v>44868</v>
      </c>
      <c r="E404" s="26" t="s">
        <v>1411</v>
      </c>
      <c r="F404" s="27" t="s">
        <v>861</v>
      </c>
      <c r="G404" s="27" t="s">
        <v>605</v>
      </c>
      <c r="H404" s="27"/>
      <c r="I404" s="6"/>
      <c r="J404" s="6"/>
      <c r="K404" s="6"/>
      <c r="L404" s="6"/>
      <c r="M404" s="6"/>
      <c r="N404" s="6"/>
      <c r="O404" s="27" t="s">
        <v>862</v>
      </c>
      <c r="P404" s="34"/>
      <c r="Q404" s="34" t="s">
        <v>1412</v>
      </c>
      <c r="R404" s="29"/>
    </row>
    <row r="405" spans="1:18" ht="17.25" customHeight="1">
      <c r="A405" s="44" t="s">
        <v>385</v>
      </c>
      <c r="B405" s="23" t="str" cm="1">
        <f t="array" ref="B405">_xlfn.TEXTJOIN(", ", TRUE(), _xlfn._xlws.FILTER(Spkrs_Rcrdngs[Speaker],Spkrs_Rcrdngs[Recording]=Rcrdngs[[#This Row],[Text]],"[no speaker selected in Speakers_in_Recordings]"))</f>
        <v>Mezra01</v>
      </c>
      <c r="C405" s="41" t="str" cm="1">
        <f t="array" ref="C405">_xlfn.TEXTJOIN(", ", TRUE(), _xlfn._xlws.FILTER(Sbcts_Rcrdngs[Subject],Sbcts_Rcrdngs[Recording]=Rcrdngs[[#This Row],[Text]],"[no subject selected in Subjects_in_Recordings]"))</f>
        <v>Prison</v>
      </c>
      <c r="D405" s="25">
        <v>44868</v>
      </c>
      <c r="E405" s="26" t="s">
        <v>1413</v>
      </c>
      <c r="F405" s="27" t="s">
        <v>861</v>
      </c>
      <c r="G405" s="27" t="s">
        <v>605</v>
      </c>
      <c r="H405" s="27" t="s">
        <v>861</v>
      </c>
      <c r="I405" s="6" t="s">
        <v>604</v>
      </c>
      <c r="J405" s="6" t="s">
        <v>861</v>
      </c>
      <c r="K405" s="6" t="s">
        <v>604</v>
      </c>
      <c r="L405" s="6"/>
      <c r="M405" s="6"/>
      <c r="N405" s="6"/>
      <c r="O405" s="27" t="s">
        <v>862</v>
      </c>
      <c r="P405" s="34"/>
      <c r="Q405" s="34" t="s">
        <v>1414</v>
      </c>
      <c r="R405" s="29"/>
    </row>
    <row r="406" spans="1:18" ht="17.25" customHeight="1">
      <c r="A406" s="44" t="s">
        <v>386</v>
      </c>
      <c r="B406" s="23" t="str" cm="1">
        <f t="array" ref="B406">_xlfn.TEXTJOIN(", ", TRUE(), _xlfn._xlws.FILTER(Spkrs_Rcrdngs[Speaker],Spkrs_Rcrdngs[Recording]=Rcrdngs[[#This Row],[Text]],"[no speaker selected in Speakers_in_Recordings]"))</f>
        <v>Mezra01</v>
      </c>
      <c r="C406" s="41" t="str" cm="1">
        <f t="array" ref="C406">_xlfn.TEXTJOIN(", ", TRUE(), _xlfn._xlws.FILTER(Sbcts_Rcrdngs[Subject],Sbcts_Rcrdngs[Recording]=Rcrdngs[[#This Row],[Text]],"[no subject selected in Subjects_in_Recordings]"))</f>
        <v>Conflicts</v>
      </c>
      <c r="D406" s="25">
        <v>44868</v>
      </c>
      <c r="E406" s="26" t="s">
        <v>949</v>
      </c>
      <c r="F406" s="27" t="s">
        <v>861</v>
      </c>
      <c r="G406" s="27" t="s">
        <v>605</v>
      </c>
      <c r="H406" s="27" t="s">
        <v>861</v>
      </c>
      <c r="I406" s="6" t="s">
        <v>604</v>
      </c>
      <c r="J406" s="6" t="s">
        <v>861</v>
      </c>
      <c r="K406" s="6" t="s">
        <v>604</v>
      </c>
      <c r="L406" s="6"/>
      <c r="M406" s="6"/>
      <c r="N406" s="6"/>
      <c r="O406" s="27" t="s">
        <v>862</v>
      </c>
      <c r="P406" s="34"/>
      <c r="Q406" s="34" t="s">
        <v>1415</v>
      </c>
      <c r="R406" s="29"/>
    </row>
    <row r="407" spans="1:18" ht="17.25" customHeight="1">
      <c r="A407" s="44" t="s">
        <v>387</v>
      </c>
      <c r="B407" s="23" t="str" cm="1">
        <f t="array" ref="B407">_xlfn.TEXTJOIN(", ", TRUE(), _xlfn._xlws.FILTER(Spkrs_Rcrdngs[Speaker],Spkrs_Rcrdngs[Recording]=Rcrdngs[[#This Row],[Text]],"[no speaker selected in Speakers_in_Recordings]"))</f>
        <v>Mezra01</v>
      </c>
      <c r="C407" s="41" t="str" cm="1">
        <f t="array" ref="C407">_xlfn.TEXTJOIN(", ", TRUE(), _xlfn._xlws.FILTER(Sbcts_Rcrdngs[Subject],Sbcts_Rcrdngs[Recording]=Rcrdngs[[#This Row],[Text]],"[no subject selected in Subjects_in_Recordings]"))</f>
        <v>Tribes</v>
      </c>
      <c r="D407" s="25">
        <v>44868</v>
      </c>
      <c r="E407" s="26" t="s">
        <v>1304</v>
      </c>
      <c r="F407" s="27" t="s">
        <v>861</v>
      </c>
      <c r="G407" s="27" t="s">
        <v>605</v>
      </c>
      <c r="H407" s="27"/>
      <c r="I407" s="6"/>
      <c r="J407" s="6"/>
      <c r="K407" s="6"/>
      <c r="L407" s="6"/>
      <c r="M407" s="6"/>
      <c r="N407" s="6"/>
      <c r="O407" s="27" t="s">
        <v>862</v>
      </c>
      <c r="P407" s="34"/>
      <c r="Q407" s="34" t="s">
        <v>1416</v>
      </c>
      <c r="R407" s="29"/>
    </row>
    <row r="408" spans="1:18" ht="17.25" customHeight="1">
      <c r="A408" s="44" t="s">
        <v>388</v>
      </c>
      <c r="B408" s="23" t="str" cm="1">
        <f t="array" ref="B408">_xlfn.TEXTJOIN(", ", TRUE(), _xlfn._xlws.FILTER(Spkrs_Rcrdngs[Speaker],Spkrs_Rcrdngs[Recording]=Rcrdngs[[#This Row],[Text]],"[no speaker selected in Speakers_in_Recordings]"))</f>
        <v>Ziyara01</v>
      </c>
      <c r="C408" s="41" t="str" cm="1">
        <f t="array" ref="C408">_xlfn.TEXTJOIN(", ", TRUE(), _xlfn._xlws.FILTER(Sbcts_Rcrdngs[Subject],Sbcts_Rcrdngs[Recording]=Rcrdngs[[#This Row],[Text]],"[no subject selected in Subjects_in_Recordings]"))</f>
        <v>Consent</v>
      </c>
      <c r="D408" s="25">
        <v>44870</v>
      </c>
      <c r="E408" s="26" t="s">
        <v>1417</v>
      </c>
      <c r="F408" s="27" t="s">
        <v>861</v>
      </c>
      <c r="G408" s="27" t="s">
        <v>605</v>
      </c>
      <c r="H408" s="27"/>
      <c r="I408" s="6"/>
      <c r="J408" s="6"/>
      <c r="K408" s="6"/>
      <c r="L408" s="6"/>
      <c r="M408" s="6"/>
      <c r="N408" s="6"/>
      <c r="O408" s="27" t="s">
        <v>862</v>
      </c>
      <c r="P408" s="34"/>
      <c r="Q408" s="34" t="s">
        <v>1418</v>
      </c>
      <c r="R408" s="29"/>
    </row>
    <row r="409" spans="1:18" ht="17.25" customHeight="1">
      <c r="A409" s="44" t="s">
        <v>389</v>
      </c>
      <c r="B409" s="23" t="str" cm="1">
        <f t="array" ref="B409">_xlfn.TEXTJOIN(", ", TRUE(), _xlfn._xlws.FILTER(Spkrs_Rcrdngs[Speaker],Spkrs_Rcrdngs[Recording]=Rcrdngs[[#This Row],[Text]],"[no speaker selected in Speakers_in_Recordings]"))</f>
        <v>Ziyara01</v>
      </c>
      <c r="C409" s="41" t="str" cm="1">
        <f t="array" ref="C409">_xlfn.TEXTJOIN(", ", TRUE(), _xlfn._xlws.FILTER(Sbcts_Rcrdngs[Subject],Sbcts_Rcrdngs[Recording]=Rcrdngs[[#This Row],[Text]],"[no subject selected in Subjects_in_Recordings]"))</f>
        <v>Local Arabs</v>
      </c>
      <c r="D409" s="25">
        <v>44870</v>
      </c>
      <c r="E409" s="26" t="s">
        <v>1309</v>
      </c>
      <c r="F409" s="27" t="s">
        <v>861</v>
      </c>
      <c r="G409" s="27" t="s">
        <v>605</v>
      </c>
      <c r="H409" s="27"/>
      <c r="I409" s="6"/>
      <c r="J409" s="6"/>
      <c r="K409" s="6"/>
      <c r="L409" s="6"/>
      <c r="M409" s="6"/>
      <c r="N409" s="6"/>
      <c r="O409" s="27" t="s">
        <v>862</v>
      </c>
      <c r="P409" s="34"/>
      <c r="Q409" s="34" t="s">
        <v>1419</v>
      </c>
      <c r="R409" s="29"/>
    </row>
    <row r="410" spans="1:18" ht="17.25" customHeight="1">
      <c r="A410" s="44" t="s">
        <v>390</v>
      </c>
      <c r="B410" s="23" t="str" cm="1">
        <f t="array" ref="B410">_xlfn.TEXTJOIN(", ", TRUE(), _xlfn._xlws.FILTER(Spkrs_Rcrdngs[Speaker],Spkrs_Rcrdngs[Recording]=Rcrdngs[[#This Row],[Text]],"[no speaker selected in Speakers_in_Recordings]"))</f>
        <v>Ziyara01</v>
      </c>
      <c r="C410" s="41" t="str" cm="1">
        <f t="array" ref="C410">_xlfn.TEXTJOIN(", ", TRUE(), _xlfn._xlws.FILTER(Sbcts_Rcrdngs[Subject],Sbcts_Rcrdngs[Recording]=Rcrdngs[[#This Row],[Text]],"[no subject selected in Subjects_in_Recordings]"))</f>
        <v>Prophets</v>
      </c>
      <c r="D410" s="25">
        <v>44870</v>
      </c>
      <c r="E410" s="26" t="s">
        <v>1420</v>
      </c>
      <c r="F410" s="27" t="s">
        <v>861</v>
      </c>
      <c r="G410" s="27" t="s">
        <v>605</v>
      </c>
      <c r="H410" s="27"/>
      <c r="I410" s="6"/>
      <c r="J410" s="6"/>
      <c r="K410" s="6"/>
      <c r="L410" s="6"/>
      <c r="M410" s="6"/>
      <c r="N410" s="6"/>
      <c r="O410" s="27" t="s">
        <v>862</v>
      </c>
      <c r="P410" s="34"/>
      <c r="Q410" s="34" t="s">
        <v>1421</v>
      </c>
      <c r="R410" s="29"/>
    </row>
    <row r="411" spans="1:18" ht="17.25" customHeight="1">
      <c r="A411" s="44" t="s">
        <v>391</v>
      </c>
      <c r="B411" s="23" t="str" cm="1">
        <f t="array" ref="B411">_xlfn.TEXTJOIN(", ", TRUE(), _xlfn._xlws.FILTER(Spkrs_Rcrdngs[Speaker],Spkrs_Rcrdngs[Recording]=Rcrdngs[[#This Row],[Text]],"[no speaker selected in Speakers_in_Recordings]"))</f>
        <v>Ziyara01, Ziyara02</v>
      </c>
      <c r="C411" s="41" t="str" cm="1">
        <f t="array" ref="C411">_xlfn.TEXTJOIN(", ", TRUE(), _xlfn._xlws.FILTER(Sbcts_Rcrdngs[Subject],Sbcts_Rcrdngs[Recording]=Rcrdngs[[#This Row],[Text]],"[no subject selected in Subjects_in_Recordings]"))</f>
        <v>Kontorcu</v>
      </c>
      <c r="D411" s="25">
        <v>44870</v>
      </c>
      <c r="E411" s="26" t="s">
        <v>619</v>
      </c>
      <c r="F411" s="27" t="s">
        <v>861</v>
      </c>
      <c r="G411" s="27" t="s">
        <v>605</v>
      </c>
      <c r="H411" s="27" t="s">
        <v>861</v>
      </c>
      <c r="I411" s="6" t="s">
        <v>604</v>
      </c>
      <c r="J411" s="6" t="s">
        <v>861</v>
      </c>
      <c r="K411" s="6" t="s">
        <v>604</v>
      </c>
      <c r="L411" s="6"/>
      <c r="M411" s="6"/>
      <c r="N411" s="6"/>
      <c r="O411" s="27" t="s">
        <v>862</v>
      </c>
      <c r="P411" s="57" t="s">
        <v>1422</v>
      </c>
      <c r="Q411" s="57" t="s">
        <v>1423</v>
      </c>
      <c r="R411" s="29"/>
    </row>
    <row r="412" spans="1:18" ht="17.25" customHeight="1">
      <c r="A412" s="35" t="s">
        <v>392</v>
      </c>
      <c r="B412" s="23" t="str" cm="1">
        <f t="array" ref="B412">_xlfn.TEXTJOIN(", ", TRUE(), _xlfn._xlws.FILTER(Spkrs_Rcrdngs[Speaker],Spkrs_Rcrdngs[Recording]=Rcrdngs[[#This Row],[Text]],"[no speaker selected in Speakers_in_Recordings]"))</f>
        <v>Ziyara01, Ziyara02</v>
      </c>
      <c r="C412" s="24" t="str" cm="1">
        <f t="array" ref="C412">_xlfn.TEXTJOIN(", ", TRUE(), _xlfn._xlws.FILTER(Sbcts_Rcrdngs[Subject],Sbcts_Rcrdngs[Recording]=Rcrdngs[[#This Row],[Text]],"[no subject selected in Subjects_in_Recordings]"))</f>
        <v>Being a Sayyid, Fake Sheikhs</v>
      </c>
      <c r="D412" s="25">
        <v>44871</v>
      </c>
      <c r="E412" s="26" t="s">
        <v>979</v>
      </c>
      <c r="F412" s="27" t="s">
        <v>861</v>
      </c>
      <c r="G412" s="27" t="s">
        <v>605</v>
      </c>
      <c r="H412" s="27" t="s">
        <v>861</v>
      </c>
      <c r="I412" s="6" t="s">
        <v>604</v>
      </c>
      <c r="J412" s="6" t="s">
        <v>861</v>
      </c>
      <c r="K412" s="6" t="s">
        <v>604</v>
      </c>
      <c r="L412" s="6"/>
      <c r="M412" s="6"/>
      <c r="N412" s="6"/>
      <c r="O412" s="27" t="s">
        <v>862</v>
      </c>
      <c r="P412" s="57" t="s">
        <v>1422</v>
      </c>
      <c r="Q412" s="61" t="s">
        <v>1424</v>
      </c>
      <c r="R412" s="29"/>
    </row>
    <row r="413" spans="1:18" ht="17.25" customHeight="1">
      <c r="A413" s="44" t="s">
        <v>393</v>
      </c>
      <c r="B413" s="23" t="str" cm="1">
        <f t="array" ref="B413">_xlfn.TEXTJOIN(", ", TRUE(), _xlfn._xlws.FILTER(Spkrs_Rcrdngs[Speaker],Spkrs_Rcrdngs[Recording]=Rcrdngs[[#This Row],[Text]],"[no speaker selected in Speakers_in_Recordings]"))</f>
        <v>Ziyara02</v>
      </c>
      <c r="C413" s="41" t="str" cm="1">
        <f t="array" ref="C413">_xlfn.TEXTJOIN(", ", TRUE(), _xlfn._xlws.FILTER(Sbcts_Rcrdngs[Subject],Sbcts_Rcrdngs[Recording]=Rcrdngs[[#This Row],[Text]],"[no subject selected in Subjects_in_Recordings]"))</f>
        <v>Hunger, Caves, Muslim's Conquest, Pigeon Breeding, People of Lut</v>
      </c>
      <c r="D413" s="25">
        <v>44870</v>
      </c>
      <c r="E413" s="26" t="s">
        <v>1425</v>
      </c>
      <c r="F413" s="27" t="s">
        <v>861</v>
      </c>
      <c r="G413" s="27" t="s">
        <v>605</v>
      </c>
      <c r="H413" s="27"/>
      <c r="I413" s="6"/>
      <c r="J413" s="6"/>
      <c r="K413" s="6"/>
      <c r="L413" s="6"/>
      <c r="M413" s="6"/>
      <c r="N413" s="6"/>
      <c r="O413" s="27" t="s">
        <v>862</v>
      </c>
      <c r="P413" s="34"/>
      <c r="Q413" s="34" t="s">
        <v>1426</v>
      </c>
      <c r="R413" s="29"/>
    </row>
    <row r="414" spans="1:18" ht="17.25" customHeight="1">
      <c r="A414" s="44" t="s">
        <v>394</v>
      </c>
      <c r="B414" s="23" t="str" cm="1">
        <f t="array" ref="B414">_xlfn.TEXTJOIN(", ", TRUE(), _xlfn._xlws.FILTER(Spkrs_Rcrdngs[Speaker],Spkrs_Rcrdngs[Recording]=Rcrdngs[[#This Row],[Text]],"[no speaker selected in Speakers_in_Recordings]"))</f>
        <v>Ziyara01</v>
      </c>
      <c r="C414" s="41" t="str" cm="1">
        <f t="array" ref="C414">_xlfn.TEXTJOIN(", ", TRUE(), _xlfn._xlws.FILTER(Sbcts_Rcrdngs[Subject],Sbcts_Rcrdngs[Recording]=Rcrdngs[[#This Row],[Text]],"[no subject selected in Subjects_in_Recordings]"))</f>
        <v>Rizwan Pasha</v>
      </c>
      <c r="D414" s="25">
        <v>44870</v>
      </c>
      <c r="E414" s="26" t="s">
        <v>1427</v>
      </c>
      <c r="F414" s="27" t="s">
        <v>861</v>
      </c>
      <c r="G414" s="27" t="s">
        <v>605</v>
      </c>
      <c r="H414" s="27"/>
      <c r="I414" s="6"/>
      <c r="J414" s="6"/>
      <c r="K414" s="6"/>
      <c r="L414" s="6"/>
      <c r="M414" s="6"/>
      <c r="N414" s="6"/>
      <c r="O414" s="27" t="s">
        <v>862</v>
      </c>
      <c r="P414" s="34"/>
      <c r="Q414" s="34" t="s">
        <v>1428</v>
      </c>
      <c r="R414" s="29"/>
    </row>
    <row r="415" spans="1:18" ht="17.25" customHeight="1">
      <c r="A415" s="44" t="s">
        <v>395</v>
      </c>
      <c r="B415" s="23" t="str" cm="1">
        <f t="array" ref="B415">_xlfn.TEXTJOIN(", ", TRUE(), _xlfn._xlws.FILTER(Spkrs_Rcrdngs[Speaker],Spkrs_Rcrdngs[Recording]=Rcrdngs[[#This Row],[Text]],"[no speaker selected in Speakers_in_Recordings]"))</f>
        <v>Ziyara02</v>
      </c>
      <c r="C415" s="41" t="str" cm="1">
        <f t="array" ref="C415">_xlfn.TEXTJOIN(", ", TRUE(), _xlfn._xlws.FILTER(Sbcts_Rcrdngs[Subject],Sbcts_Rcrdngs[Recording]=Rcrdngs[[#This Row],[Text]],"[no subject selected in Subjects_in_Recordings]"))</f>
        <v>Sheikhs, Adam</v>
      </c>
      <c r="D415" s="25">
        <v>44870</v>
      </c>
      <c r="E415" s="26" t="s">
        <v>1429</v>
      </c>
      <c r="F415" s="27" t="s">
        <v>861</v>
      </c>
      <c r="G415" s="27" t="s">
        <v>605</v>
      </c>
      <c r="H415" s="27"/>
      <c r="I415" s="6"/>
      <c r="J415" s="6"/>
      <c r="K415" s="6"/>
      <c r="L415" s="6"/>
      <c r="M415" s="6"/>
      <c r="N415" s="6"/>
      <c r="O415" s="27" t="s">
        <v>862</v>
      </c>
      <c r="P415" s="34"/>
      <c r="Q415" s="34" t="s">
        <v>1430</v>
      </c>
      <c r="R415" s="29"/>
    </row>
    <row r="416" spans="1:18" ht="17.25" customHeight="1">
      <c r="A416" s="44" t="s">
        <v>396</v>
      </c>
      <c r="B416" s="23" t="str" cm="1">
        <f t="array" ref="B416">_xlfn.TEXTJOIN(", ", TRUE(), _xlfn._xlws.FILTER(Spkrs_Rcrdngs[Speaker],Spkrs_Rcrdngs[Recording]=Rcrdngs[[#This Row],[Text]],"[no speaker selected in Speakers_in_Recordings]"))</f>
        <v>Ziyara02</v>
      </c>
      <c r="C416" s="41" t="str" cm="1">
        <f t="array" ref="C416">_xlfn.TEXTJOIN(", ", TRUE(), _xlfn._xlws.FILTER(Sbcts_Rcrdngs[Subject],Sbcts_Rcrdngs[Recording]=Rcrdngs[[#This Row],[Text]],"[no subject selected in Subjects_in_Recordings]"))</f>
        <v>Thieves, Derwishes</v>
      </c>
      <c r="D416" s="25">
        <v>44870</v>
      </c>
      <c r="E416" s="26" t="s">
        <v>1322</v>
      </c>
      <c r="F416" s="27" t="s">
        <v>861</v>
      </c>
      <c r="G416" s="27" t="s">
        <v>605</v>
      </c>
      <c r="H416" s="27"/>
      <c r="I416" s="6"/>
      <c r="J416" s="6"/>
      <c r="K416" s="6"/>
      <c r="L416" s="6"/>
      <c r="M416" s="6"/>
      <c r="N416" s="6"/>
      <c r="O416" s="27" t="s">
        <v>862</v>
      </c>
      <c r="P416" s="34"/>
      <c r="Q416" s="34" t="s">
        <v>1431</v>
      </c>
      <c r="R416" s="29"/>
    </row>
    <row r="417" spans="1:18" ht="17.25" customHeight="1">
      <c r="A417" s="44" t="s">
        <v>397</v>
      </c>
      <c r="B417" s="23" t="str" cm="1">
        <f t="array" ref="B417">_xlfn.TEXTJOIN(", ", TRUE(), _xlfn._xlws.FILTER(Spkrs_Rcrdngs[Speaker],Spkrs_Rcrdngs[Recording]=Rcrdngs[[#This Row],[Text]],"[no speaker selected in Speakers_in_Recordings]"))</f>
        <v>Ziyara02</v>
      </c>
      <c r="C417" s="41" t="str" cm="1">
        <f t="array" ref="C417">_xlfn.TEXTJOIN(", ", TRUE(), _xlfn._xlws.FILTER(Sbcts_Rcrdngs[Subject],Sbcts_Rcrdngs[Recording]=Rcrdngs[[#This Row],[Text]],"[no subject selected in Subjects_in_Recordings]"))</f>
        <v>Ottomans, Ataturk, Sufis</v>
      </c>
      <c r="D417" s="25">
        <v>44870</v>
      </c>
      <c r="E417" s="26" t="s">
        <v>1432</v>
      </c>
      <c r="F417" s="27" t="s">
        <v>861</v>
      </c>
      <c r="G417" s="27" t="s">
        <v>605</v>
      </c>
      <c r="H417" s="27"/>
      <c r="I417" s="6"/>
      <c r="J417" s="6"/>
      <c r="K417" s="6"/>
      <c r="L417" s="6"/>
      <c r="M417" s="6"/>
      <c r="N417" s="6"/>
      <c r="O417" s="27" t="s">
        <v>862</v>
      </c>
      <c r="P417" s="34"/>
      <c r="Q417" s="34" t="s">
        <v>1433</v>
      </c>
      <c r="R417" s="29"/>
    </row>
    <row r="418" spans="1:18" ht="17.25" customHeight="1">
      <c r="A418" s="44" t="s">
        <v>398</v>
      </c>
      <c r="B418" s="23" t="str" cm="1">
        <f t="array" ref="B418">_xlfn.TEXTJOIN(", ", TRUE(), _xlfn._xlws.FILTER(Spkrs_Rcrdngs[Speaker],Spkrs_Rcrdngs[Recording]=Rcrdngs[[#This Row],[Text]],"[no speaker selected in Speakers_in_Recordings]"))</f>
        <v>Ziyara02</v>
      </c>
      <c r="C418" s="41" t="str" cm="1">
        <f t="array" ref="C418">_xlfn.TEXTJOIN(", ", TRUE(), _xlfn._xlws.FILTER(Sbcts_Rcrdngs[Subject],Sbcts_Rcrdngs[Recording]=Rcrdngs[[#This Row],[Text]],"[no subject selected in Subjects_in_Recordings]"))</f>
        <v>Story of a camel, Prophet's Miracles, Abdarrahman bin Awf</v>
      </c>
      <c r="D418" s="25">
        <v>44870</v>
      </c>
      <c r="E418" s="26" t="s">
        <v>1434</v>
      </c>
      <c r="F418" s="27" t="s">
        <v>861</v>
      </c>
      <c r="G418" s="27" t="s">
        <v>605</v>
      </c>
      <c r="H418" s="27"/>
      <c r="I418" s="6"/>
      <c r="J418" s="6"/>
      <c r="K418" s="6"/>
      <c r="L418" s="6"/>
      <c r="M418" s="6"/>
      <c r="N418" s="6"/>
      <c r="O418" s="27" t="s">
        <v>862</v>
      </c>
      <c r="P418" s="34"/>
      <c r="Q418" s="34" t="s">
        <v>1435</v>
      </c>
      <c r="R418" s="29"/>
    </row>
    <row r="419" spans="1:18" ht="17.25" customHeight="1">
      <c r="A419" s="44" t="s">
        <v>399</v>
      </c>
      <c r="B419" s="23" t="str" cm="1">
        <f t="array" ref="B419">_xlfn.TEXTJOIN(", ", TRUE(), _xlfn._xlws.FILTER(Spkrs_Rcrdngs[Speaker],Spkrs_Rcrdngs[Recording]=Rcrdngs[[#This Row],[Text]],"[no speaker selected in Speakers_in_Recordings]"))</f>
        <v>Ziyara01</v>
      </c>
      <c r="C419" s="41" t="str" cm="1">
        <f t="array" ref="C419">_xlfn.TEXTJOIN(", ", TRUE(), _xlfn._xlws.FILTER(Sbcts_Rcrdngs[Subject],Sbcts_Rcrdngs[Recording]=Rcrdngs[[#This Row],[Text]],"[no subject selected in Subjects_in_Recordings]"))</f>
        <v>Sheikh, Donkeys</v>
      </c>
      <c r="D419" s="25">
        <v>44870</v>
      </c>
      <c r="E419" s="26" t="s">
        <v>1436</v>
      </c>
      <c r="F419" s="27" t="s">
        <v>861</v>
      </c>
      <c r="G419" s="27" t="s">
        <v>605</v>
      </c>
      <c r="H419" s="27" t="s">
        <v>861</v>
      </c>
      <c r="I419" s="6" t="s">
        <v>604</v>
      </c>
      <c r="J419" s="6" t="s">
        <v>861</v>
      </c>
      <c r="K419" s="6" t="s">
        <v>861</v>
      </c>
      <c r="L419" s="6" t="s">
        <v>604</v>
      </c>
      <c r="M419" s="6" t="s">
        <v>604</v>
      </c>
      <c r="N419" s="6"/>
      <c r="O419" s="27" t="s">
        <v>862</v>
      </c>
      <c r="P419" s="34"/>
      <c r="Q419" s="34" t="s">
        <v>1437</v>
      </c>
      <c r="R419" s="29"/>
    </row>
    <row r="420" spans="1:18" ht="17.25" customHeight="1">
      <c r="A420" s="44" t="s">
        <v>400</v>
      </c>
      <c r="B420" s="23" t="str" cm="1">
        <f t="array" ref="B420">_xlfn.TEXTJOIN(", ", TRUE(), _xlfn._xlws.FILTER(Spkrs_Rcrdngs[Speaker],Spkrs_Rcrdngs[Recording]=Rcrdngs[[#This Row],[Text]],"[no speaker selected in Speakers_in_Recordings]"))</f>
        <v>Ziyara02</v>
      </c>
      <c r="C420" s="41" t="str" cm="1">
        <f t="array" ref="C420">_xlfn.TEXTJOIN(", ", TRUE(), _xlfn._xlws.FILTER(Sbcts_Rcrdngs[Subject],Sbcts_Rcrdngs[Recording]=Rcrdngs[[#This Row],[Text]],"[no subject selected in Subjects_in_Recordings]"))</f>
        <v>Former Times</v>
      </c>
      <c r="D420" s="25">
        <v>44870</v>
      </c>
      <c r="E420" s="26" t="s">
        <v>1438</v>
      </c>
      <c r="F420" s="27" t="s">
        <v>861</v>
      </c>
      <c r="G420" s="27" t="s">
        <v>605</v>
      </c>
      <c r="H420" s="27"/>
      <c r="I420" s="6"/>
      <c r="J420" s="6"/>
      <c r="K420" s="6"/>
      <c r="L420" s="6"/>
      <c r="M420" s="6"/>
      <c r="N420" s="6"/>
      <c r="O420" s="27" t="s">
        <v>862</v>
      </c>
      <c r="P420" s="34"/>
      <c r="Q420" s="34" t="s">
        <v>1439</v>
      </c>
      <c r="R420" s="29"/>
    </row>
    <row r="421" spans="1:18" ht="17.25" customHeight="1">
      <c r="A421" s="44" t="s">
        <v>401</v>
      </c>
      <c r="B421" s="23" t="str" cm="1">
        <f t="array" ref="B421">_xlfn.TEXTJOIN(", ", TRUE(), _xlfn._xlws.FILTER(Spkrs_Rcrdngs[Speaker],Spkrs_Rcrdngs[Recording]=Rcrdngs[[#This Row],[Text]],"[no speaker selected in Speakers_in_Recordings]"))</f>
        <v>Ziyara02</v>
      </c>
      <c r="C421" s="41" t="str" cm="1">
        <f t="array" ref="C421">_xlfn.TEXTJOIN(", ", TRUE(), _xlfn._xlws.FILTER(Sbcts_Rcrdngs[Subject],Sbcts_Rcrdngs[Recording]=Rcrdngs[[#This Row],[Text]],"[no subject selected in Subjects_in_Recordings]"))</f>
        <v>Sheikhs, Prophet Ibrahim</v>
      </c>
      <c r="D421" s="25">
        <v>44870</v>
      </c>
      <c r="E421" s="26" t="s">
        <v>1440</v>
      </c>
      <c r="F421" s="27" t="s">
        <v>861</v>
      </c>
      <c r="G421" s="27" t="s">
        <v>605</v>
      </c>
      <c r="H421" s="27" t="s">
        <v>861</v>
      </c>
      <c r="I421" s="6" t="s">
        <v>604</v>
      </c>
      <c r="J421" s="6" t="s">
        <v>861</v>
      </c>
      <c r="K421" s="6"/>
      <c r="L421" s="6"/>
      <c r="M421" s="6"/>
      <c r="N421" s="6"/>
      <c r="O421" s="27" t="s">
        <v>862</v>
      </c>
      <c r="P421" s="34"/>
      <c r="Q421" s="34" t="s">
        <v>1441</v>
      </c>
      <c r="R421" s="29"/>
    </row>
    <row r="422" spans="1:18" ht="17.25" customHeight="1">
      <c r="A422" s="44" t="s">
        <v>402</v>
      </c>
      <c r="B422" s="23" t="str" cm="1">
        <f t="array" ref="B422">_xlfn.TEXTJOIN(", ", TRUE(), _xlfn._xlws.FILTER(Spkrs_Rcrdngs[Speaker],Spkrs_Rcrdngs[Recording]=Rcrdngs[[#This Row],[Text]],"[no speaker selected in Speakers_in_Recordings]"))</f>
        <v>Harran02</v>
      </c>
      <c r="C422" s="41" t="str" cm="1">
        <f t="array" ref="C422">_xlfn.TEXTJOIN(", ", TRUE(), _xlfn._xlws.FILTER(Sbcts_Rcrdngs[Subject],Sbcts_Rcrdngs[Recording]=Rcrdngs[[#This Row],[Text]],"[no subject selected in Subjects_in_Recordings]"))</f>
        <v>God and Poor people</v>
      </c>
      <c r="D422" s="25">
        <v>44871</v>
      </c>
      <c r="E422" s="26" t="s">
        <v>889</v>
      </c>
      <c r="F422" s="27" t="s">
        <v>861</v>
      </c>
      <c r="G422" s="27" t="s">
        <v>605</v>
      </c>
      <c r="H422" s="27"/>
      <c r="I422" s="6"/>
      <c r="J422" s="6"/>
      <c r="K422" s="6"/>
      <c r="L422" s="6"/>
      <c r="M422" s="6"/>
      <c r="N422" s="6"/>
      <c r="O422" s="27" t="s">
        <v>862</v>
      </c>
      <c r="P422" s="34"/>
      <c r="Q422" s="34" t="s">
        <v>1442</v>
      </c>
      <c r="R422" s="29"/>
    </row>
    <row r="423" spans="1:18" ht="17.25" customHeight="1">
      <c r="A423" s="44" t="s">
        <v>403</v>
      </c>
      <c r="B423" s="23" t="str" cm="1">
        <f t="array" ref="B423">_xlfn.TEXTJOIN(", ", TRUE(), _xlfn._xlws.FILTER(Spkrs_Rcrdngs[Speaker],Spkrs_Rcrdngs[Recording]=Rcrdngs[[#This Row],[Text]],"[no speaker selected in Speakers_in_Recordings]"))</f>
        <v>Harran02</v>
      </c>
      <c r="C423" s="41" t="str" cm="1">
        <f t="array" ref="C423">_xlfn.TEXTJOIN(", ", TRUE(), _xlfn._xlws.FILTER(Sbcts_Rcrdngs[Subject],Sbcts_Rcrdngs[Recording]=Rcrdngs[[#This Row],[Text]],"[no subject selected in Subjects_in_Recordings]"))</f>
        <v>Sisters</v>
      </c>
      <c r="D423" s="25">
        <v>44871</v>
      </c>
      <c r="E423" s="26" t="s">
        <v>1443</v>
      </c>
      <c r="F423" s="27" t="s">
        <v>861</v>
      </c>
      <c r="G423" s="27" t="s">
        <v>605</v>
      </c>
      <c r="H423" s="27"/>
      <c r="I423" s="6"/>
      <c r="J423" s="6"/>
      <c r="K423" s="6"/>
      <c r="L423" s="6"/>
      <c r="M423" s="6"/>
      <c r="N423" s="6"/>
      <c r="O423" s="27" t="s">
        <v>862</v>
      </c>
      <c r="P423" s="34"/>
      <c r="Q423" s="34" t="s">
        <v>1444</v>
      </c>
      <c r="R423" s="29"/>
    </row>
    <row r="424" spans="1:18" ht="17.25" customHeight="1">
      <c r="A424" s="44" t="s">
        <v>404</v>
      </c>
      <c r="B424" s="23" t="str" cm="1">
        <f t="array" ref="B424">_xlfn.TEXTJOIN(", ", TRUE(), _xlfn._xlws.FILTER(Spkrs_Rcrdngs[Speaker],Spkrs_Rcrdngs[Recording]=Rcrdngs[[#This Row],[Text]],"[no speaker selected in Speakers_in_Recordings]"))</f>
        <v>Harran02, Harran06</v>
      </c>
      <c r="C424" s="41" t="str" cm="1">
        <f t="array" ref="C424">_xlfn.TEXTJOIN(", ", TRUE(), _xlfn._xlws.FILTER(Sbcts_Rcrdngs[Subject],Sbcts_Rcrdngs[Recording]=Rcrdngs[[#This Row],[Text]],"[no subject selected in Subjects_in_Recordings]"))</f>
        <v>Gumeli Tribe</v>
      </c>
      <c r="D424" s="25">
        <v>44932</v>
      </c>
      <c r="E424" s="26" t="s">
        <v>929</v>
      </c>
      <c r="F424" s="27" t="s">
        <v>1202</v>
      </c>
      <c r="G424" s="27" t="s">
        <v>605</v>
      </c>
      <c r="H424" s="27"/>
      <c r="I424" s="6"/>
      <c r="J424" s="6"/>
      <c r="K424" s="6"/>
      <c r="L424" s="6"/>
      <c r="M424" s="6"/>
      <c r="N424" s="6"/>
      <c r="O424" s="27" t="s">
        <v>862</v>
      </c>
      <c r="P424" s="34"/>
      <c r="Q424" s="34" t="s">
        <v>1445</v>
      </c>
      <c r="R424" s="29"/>
    </row>
    <row r="425" spans="1:18" ht="17.25" customHeight="1">
      <c r="A425" s="44" t="s">
        <v>405</v>
      </c>
      <c r="B425" s="23" t="str" cm="1">
        <f t="array" ref="B425">_xlfn.TEXTJOIN(", ", TRUE(), _xlfn._xlws.FILTER(Spkrs_Rcrdngs[Speaker],Spkrs_Rcrdngs[Recording]=Rcrdngs[[#This Row],[Text]],"[no speaker selected in Speakers_in_Recordings]"))</f>
        <v>Harran02, Harran06</v>
      </c>
      <c r="C425" s="41" t="str" cm="1">
        <f t="array" ref="C425">_xlfn.TEXTJOIN(", ", TRUE(), _xlfn._xlws.FILTER(Sbcts_Rcrdngs[Subject],Sbcts_Rcrdngs[Recording]=Rcrdngs[[#This Row],[Text]],"[no subject selected in Subjects_in_Recordings]"))</f>
        <v>Igli Tribe</v>
      </c>
      <c r="D425" s="25">
        <v>44932</v>
      </c>
      <c r="E425" s="26" t="s">
        <v>1446</v>
      </c>
      <c r="F425" s="27" t="s">
        <v>1202</v>
      </c>
      <c r="G425" s="27" t="s">
        <v>605</v>
      </c>
      <c r="H425" s="27"/>
      <c r="I425" s="6"/>
      <c r="J425" s="6"/>
      <c r="K425" s="6"/>
      <c r="L425" s="6"/>
      <c r="M425" s="6"/>
      <c r="N425" s="6"/>
      <c r="O425" s="27" t="s">
        <v>862</v>
      </c>
      <c r="P425" s="34"/>
      <c r="Q425" s="34" t="s">
        <v>1447</v>
      </c>
      <c r="R425" s="29"/>
    </row>
    <row r="426" spans="1:18" ht="17.25" customHeight="1">
      <c r="A426" s="44" t="s">
        <v>406</v>
      </c>
      <c r="B426" s="23" t="str" cm="1">
        <f t="array" ref="B426">_xlfn.TEXTJOIN(", ", TRUE(), _xlfn._xlws.FILTER(Spkrs_Rcrdngs[Speaker],Spkrs_Rcrdngs[Recording]=Rcrdngs[[#This Row],[Text]],"[no speaker selected in Speakers_in_Recordings]"))</f>
        <v>Harran02, Harran03, Harran06</v>
      </c>
      <c r="C426" s="41" t="str" cm="1">
        <f t="array" ref="C426">_xlfn.TEXTJOIN(", ", TRUE(), _xlfn._xlws.FILTER(Sbcts_Rcrdngs[Subject],Sbcts_Rcrdngs[Recording]=Rcrdngs[[#This Row],[Text]],"[no subject selected in Subjects_in_Recordings]"))</f>
        <v>A Girl</v>
      </c>
      <c r="D426" s="25">
        <v>44932</v>
      </c>
      <c r="E426" s="26" t="s">
        <v>983</v>
      </c>
      <c r="F426" s="27" t="s">
        <v>1202</v>
      </c>
      <c r="G426" s="27" t="s">
        <v>605</v>
      </c>
      <c r="H426" s="27"/>
      <c r="I426" s="6"/>
      <c r="J426" s="6"/>
      <c r="K426" s="6"/>
      <c r="L426" s="6"/>
      <c r="M426" s="6"/>
      <c r="N426" s="6"/>
      <c r="O426" s="27" t="s">
        <v>862</v>
      </c>
      <c r="P426" s="34"/>
      <c r="Q426" s="34" t="s">
        <v>1448</v>
      </c>
      <c r="R426" s="29"/>
    </row>
    <row r="427" spans="1:18" ht="17.25" customHeight="1">
      <c r="A427" s="44" t="s">
        <v>407</v>
      </c>
      <c r="B427" s="23" t="str" cm="1">
        <f t="array" ref="B427">_xlfn.TEXTJOIN(", ", TRUE(), _xlfn._xlws.FILTER(Spkrs_Rcrdngs[Speaker],Spkrs_Rcrdngs[Recording]=Rcrdngs[[#This Row],[Text]],"[no speaker selected in Speakers_in_Recordings]"))</f>
        <v>Harran02, Harran04</v>
      </c>
      <c r="C427" s="41" t="str" cm="1">
        <f t="array" ref="C427">_xlfn.TEXTJOIN(", ", TRUE(), _xlfn._xlws.FILTER(Sbcts_Rcrdngs[Subject],Sbcts_Rcrdngs[Recording]=Rcrdngs[[#This Row],[Text]],"[no subject selected in Subjects_in_Recordings]"))</f>
        <v>Good Deeds, Good Women, Former Times</v>
      </c>
      <c r="D427" s="25">
        <v>44945</v>
      </c>
      <c r="E427" s="26" t="s">
        <v>1449</v>
      </c>
      <c r="F427" s="27" t="s">
        <v>1202</v>
      </c>
      <c r="G427" s="27" t="s">
        <v>605</v>
      </c>
      <c r="H427" s="27"/>
      <c r="I427" s="6"/>
      <c r="J427" s="6"/>
      <c r="K427" s="6"/>
      <c r="L427" s="6"/>
      <c r="M427" s="6"/>
      <c r="N427" s="6"/>
      <c r="O427" s="27" t="s">
        <v>862</v>
      </c>
      <c r="P427" s="34"/>
      <c r="Q427" s="34" t="s">
        <v>1450</v>
      </c>
      <c r="R427" s="29"/>
    </row>
    <row r="428" spans="1:18" ht="17.25" customHeight="1">
      <c r="A428" s="44" t="s">
        <v>408</v>
      </c>
      <c r="B428" s="23" t="str" cm="1">
        <f t="array" ref="B428">_xlfn.TEXTJOIN(", ", TRUE(), _xlfn._xlws.FILTER(Spkrs_Rcrdngs[Speaker],Spkrs_Rcrdngs[Recording]=Rcrdngs[[#This Row],[Text]],"[no speaker selected in Speakers_in_Recordings]"))</f>
        <v>Harran02, Ceylanpinar04</v>
      </c>
      <c r="C428" s="41" t="str" cm="1">
        <f t="array" ref="C428">_xlfn.TEXTJOIN(", ", TRUE(), _xlfn._xlws.FILTER(Sbcts_Rcrdngs[Subject],Sbcts_Rcrdngs[Recording]=Rcrdngs[[#This Row],[Text]],"[no subject selected in Subjects_in_Recordings]"))</f>
        <v>Sheikh Mahmut, Health, Tribe Baggara, Dudek Tribe, Fights among Tribes</v>
      </c>
      <c r="D428" s="25">
        <v>44950</v>
      </c>
      <c r="E428" s="26" t="s">
        <v>1451</v>
      </c>
      <c r="F428" s="27" t="s">
        <v>1202</v>
      </c>
      <c r="G428" s="27" t="s">
        <v>605</v>
      </c>
      <c r="H428" s="27"/>
      <c r="I428" s="6"/>
      <c r="J428" s="6"/>
      <c r="K428" s="6"/>
      <c r="L428" s="6"/>
      <c r="M428" s="6"/>
      <c r="N428" s="6"/>
      <c r="O428" s="27" t="s">
        <v>862</v>
      </c>
      <c r="P428" s="34"/>
      <c r="Q428" s="34" t="s">
        <v>1452</v>
      </c>
      <c r="R428" s="29"/>
    </row>
    <row r="429" spans="1:18" ht="17.25" customHeight="1">
      <c r="A429" s="44" t="s">
        <v>409</v>
      </c>
      <c r="B429" s="23" t="str" cm="1">
        <f t="array" ref="B429">_xlfn.TEXTJOIN(", ", TRUE(), _xlfn._xlws.FILTER(Spkrs_Rcrdngs[Speaker],Spkrs_Rcrdngs[Recording]=Rcrdngs[[#This Row],[Text]],"[no speaker selected in Speakers_in_Recordings]"))</f>
        <v>Harran02, Ceylanpinar04</v>
      </c>
      <c r="C429" s="41" t="str" cm="1">
        <f t="array" ref="C429">_xlfn.TEXTJOIN(", ", TRUE(), _xlfn._xlws.FILTER(Sbcts_Rcrdngs[Subject],Sbcts_Rcrdngs[Recording]=Rcrdngs[[#This Row],[Text]],"[no subject selected in Subjects_in_Recordings]"))</f>
        <v>Syrians</v>
      </c>
      <c r="D429" s="25">
        <v>44950</v>
      </c>
      <c r="E429" s="26" t="s">
        <v>1453</v>
      </c>
      <c r="F429" s="27" t="s">
        <v>1202</v>
      </c>
      <c r="G429" s="27" t="s">
        <v>605</v>
      </c>
      <c r="H429" s="27" t="s">
        <v>861</v>
      </c>
      <c r="I429" s="6" t="s">
        <v>604</v>
      </c>
      <c r="J429" s="6" t="s">
        <v>861</v>
      </c>
      <c r="K429" s="6"/>
      <c r="L429" s="6"/>
      <c r="M429" s="6"/>
      <c r="N429" s="6"/>
      <c r="O429" s="27" t="s">
        <v>862</v>
      </c>
      <c r="P429" s="34"/>
      <c r="Q429" s="34" t="s">
        <v>1454</v>
      </c>
      <c r="R429" s="29"/>
    </row>
    <row r="430" spans="1:18" ht="17.25" customHeight="1">
      <c r="A430" s="35" t="s">
        <v>410</v>
      </c>
      <c r="B430" s="23" t="str" cm="1">
        <f t="array" ref="B430">_xlfn.TEXTJOIN(", ", TRUE(), _xlfn._xlws.FILTER(Spkrs_Rcrdngs[Speaker],Spkrs_Rcrdngs[Recording]=Rcrdngs[[#This Row],[Text]],"[no speaker selected in Speakers_in_Recordings]"))</f>
        <v>Harran02, Ceylanpinar04</v>
      </c>
      <c r="C430" s="24" t="str" cm="1">
        <f t="array" ref="C430">_xlfn.TEXTJOIN(", ", TRUE(), _xlfn._xlws.FILTER(Sbcts_Rcrdngs[Subject],Sbcts_Rcrdngs[Recording]=Rcrdngs[[#This Row],[Text]],"[no subject selected in Subjects_in_Recordings]"))</f>
        <v>leprosy</v>
      </c>
      <c r="D430" s="25">
        <v>44950</v>
      </c>
      <c r="E430" s="26" t="s">
        <v>1453</v>
      </c>
      <c r="F430" s="27" t="s">
        <v>1202</v>
      </c>
      <c r="G430" s="27" t="s">
        <v>605</v>
      </c>
      <c r="H430" s="27" t="s">
        <v>861</v>
      </c>
      <c r="I430" s="6" t="s">
        <v>604</v>
      </c>
      <c r="J430" s="6" t="s">
        <v>861</v>
      </c>
      <c r="K430" s="6"/>
      <c r="L430" s="6"/>
      <c r="M430" s="6"/>
      <c r="N430" s="6"/>
      <c r="O430" s="27" t="s">
        <v>862</v>
      </c>
      <c r="P430" s="34"/>
      <c r="Q430" s="34" t="s">
        <v>1454</v>
      </c>
      <c r="R430" s="29"/>
    </row>
    <row r="431" spans="1:18" ht="17.25" customHeight="1">
      <c r="A431" s="44" t="s">
        <v>411</v>
      </c>
      <c r="B431" s="23" t="str" cm="1">
        <f t="array" ref="B431">_xlfn.TEXTJOIN(", ", TRUE(), _xlfn._xlws.FILTER(Spkrs_Rcrdngs[Speaker],Spkrs_Rcrdngs[Recording]=Rcrdngs[[#This Row],[Text]],"[no speaker selected in Speakers_in_Recordings]"))</f>
        <v>Harran02, Ceylanpinar03, Ceylanpinar04</v>
      </c>
      <c r="C431" s="41" t="str" cm="1">
        <f t="array" ref="C431">_xlfn.TEXTJOIN(", ", TRUE(), _xlfn._xlws.FILTER(Sbcts_Rcrdngs[Subject],Sbcts_Rcrdngs[Recording]=Rcrdngs[[#This Row],[Text]],"[no subject selected in Subjects_in_Recordings]"))</f>
        <v>Surgery</v>
      </c>
      <c r="D431" s="25">
        <v>44950</v>
      </c>
      <c r="E431" s="26" t="s">
        <v>1455</v>
      </c>
      <c r="F431" s="27" t="s">
        <v>1202</v>
      </c>
      <c r="G431" s="27" t="s">
        <v>605</v>
      </c>
      <c r="H431" s="27"/>
      <c r="I431" s="6"/>
      <c r="J431" s="6"/>
      <c r="K431" s="6"/>
      <c r="L431" s="6"/>
      <c r="M431" s="6"/>
      <c r="N431" s="6"/>
      <c r="O431" s="27" t="s">
        <v>862</v>
      </c>
      <c r="P431" s="34"/>
      <c r="Q431" s="34" t="s">
        <v>1456</v>
      </c>
      <c r="R431" s="29"/>
    </row>
    <row r="432" spans="1:18" ht="17.25" customHeight="1">
      <c r="A432" s="44" t="s">
        <v>412</v>
      </c>
      <c r="B432" s="23" t="str" cm="1">
        <f t="array" ref="B432">_xlfn.TEXTJOIN(", ", TRUE(), _xlfn._xlws.FILTER(Spkrs_Rcrdngs[Speaker],Spkrs_Rcrdngs[Recording]=Rcrdngs[[#This Row],[Text]],"[no speaker selected in Speakers_in_Recordings]"))</f>
        <v>Harran02, Ceylanpinar03, Ceylanpinar04</v>
      </c>
      <c r="C432" s="41" t="str" cm="1">
        <f t="array" ref="C432">_xlfn.TEXTJOIN(", ", TRUE(), _xlfn._xlws.FILTER(Sbcts_Rcrdngs[Subject],Sbcts_Rcrdngs[Recording]=Rcrdngs[[#This Row],[Text]],"[no subject selected in Subjects_in_Recordings]"))</f>
        <v>Walking</v>
      </c>
      <c r="D432" s="25">
        <v>44950</v>
      </c>
      <c r="E432" s="26" t="s">
        <v>931</v>
      </c>
      <c r="F432" s="27" t="s">
        <v>1202</v>
      </c>
      <c r="G432" s="27" t="s">
        <v>605</v>
      </c>
      <c r="H432" s="27"/>
      <c r="I432" s="6"/>
      <c r="J432" s="6"/>
      <c r="K432" s="6"/>
      <c r="L432" s="6"/>
      <c r="M432" s="6"/>
      <c r="N432" s="6"/>
      <c r="O432" s="27" t="s">
        <v>862</v>
      </c>
      <c r="P432" s="34"/>
      <c r="Q432" s="34" t="s">
        <v>1457</v>
      </c>
      <c r="R432" s="29"/>
    </row>
    <row r="433" spans="1:18" ht="17.25" customHeight="1">
      <c r="A433" s="44" t="s">
        <v>413</v>
      </c>
      <c r="B433" s="23" t="str" cm="1">
        <f t="array" ref="B433">_xlfn.TEXTJOIN(", ", TRUE(), _xlfn._xlws.FILTER(Spkrs_Rcrdngs[Speaker],Spkrs_Rcrdngs[Recording]=Rcrdngs[[#This Row],[Text]],"[no speaker selected in Speakers_in_Recordings]"))</f>
        <v>Ceylanpinar02, Harran14</v>
      </c>
      <c r="C433" s="41" t="str" cm="1">
        <f t="array" ref="C433">_xlfn.TEXTJOIN(", ", TRUE(), _xlfn._xlws.FILTER(Sbcts_Rcrdngs[Subject],Sbcts_Rcrdngs[Recording]=Rcrdngs[[#This Row],[Text]],"[no subject selected in Subjects_in_Recordings]"))</f>
        <v>Being Grateful</v>
      </c>
      <c r="D433" s="25">
        <v>44950</v>
      </c>
      <c r="E433" s="26" t="s">
        <v>1458</v>
      </c>
      <c r="F433" s="27" t="s">
        <v>1202</v>
      </c>
      <c r="G433" s="27" t="s">
        <v>605</v>
      </c>
      <c r="H433" s="27"/>
      <c r="I433" s="6"/>
      <c r="J433" s="6"/>
      <c r="K433" s="6"/>
      <c r="L433" s="6"/>
      <c r="M433" s="6"/>
      <c r="N433" s="6"/>
      <c r="O433" s="27" t="s">
        <v>862</v>
      </c>
      <c r="P433" s="34"/>
      <c r="Q433" s="34" t="s">
        <v>1459</v>
      </c>
      <c r="R433" s="29"/>
    </row>
    <row r="434" spans="1:18" ht="17.25" customHeight="1">
      <c r="A434" s="44" t="s">
        <v>414</v>
      </c>
      <c r="B434" s="23" t="str" cm="1">
        <f t="array" ref="B434">_xlfn.TEXTJOIN(", ", TRUE(), _xlfn._xlws.FILTER(Spkrs_Rcrdngs[Speaker],Spkrs_Rcrdngs[Recording]=Rcrdngs[[#This Row],[Text]],"[no speaker selected in Speakers_in_Recordings]"))</f>
        <v>Harran02, Ceylanpinar04</v>
      </c>
      <c r="C434" s="41" t="str" cm="1">
        <f t="array" ref="C434">_xlfn.TEXTJOIN(", ", TRUE(), _xlfn._xlws.FILTER(Sbcts_Rcrdngs[Subject],Sbcts_Rcrdngs[Recording]=Rcrdngs[[#This Row],[Text]],"[no subject selected in Subjects_in_Recordings]"))</f>
        <v>Lost Manners</v>
      </c>
      <c r="D434" s="25">
        <v>44952</v>
      </c>
      <c r="E434" s="26" t="s">
        <v>1460</v>
      </c>
      <c r="F434" s="27" t="s">
        <v>1202</v>
      </c>
      <c r="G434" s="27" t="s">
        <v>605</v>
      </c>
      <c r="H434" s="27"/>
      <c r="I434" s="6"/>
      <c r="J434" s="6"/>
      <c r="K434" s="6"/>
      <c r="L434" s="6"/>
      <c r="M434" s="6"/>
      <c r="N434" s="6"/>
      <c r="O434" s="27" t="s">
        <v>862</v>
      </c>
      <c r="P434" s="34"/>
      <c r="Q434" s="34" t="s">
        <v>1461</v>
      </c>
      <c r="R434" s="29"/>
    </row>
    <row r="435" spans="1:18" ht="17.25" customHeight="1">
      <c r="A435" s="44" t="s">
        <v>415</v>
      </c>
      <c r="B435" s="23" t="str" cm="1">
        <f t="array" ref="B435">_xlfn.TEXTJOIN(", ", TRUE(), _xlfn._xlws.FILTER(Spkrs_Rcrdngs[Speaker],Spkrs_Rcrdngs[Recording]=Rcrdngs[[#This Row],[Text]],"[no speaker selected in Speakers_in_Recordings]"))</f>
        <v>Harran02, Ceylanpinar04, Ceylanpinar05</v>
      </c>
      <c r="C435" s="41" t="str" cm="1">
        <f t="array" ref="C435">_xlfn.TEXTJOIN(", ", TRUE(), _xlfn._xlws.FILTER(Sbcts_Rcrdngs[Subject],Sbcts_Rcrdngs[Recording]=Rcrdngs[[#This Row],[Text]],"[no subject selected in Subjects_in_Recordings]"))</f>
        <v>Mother Tongue, Arabs, Countries, Kurds, Syrians</v>
      </c>
      <c r="D435" s="25">
        <v>44953</v>
      </c>
      <c r="E435" s="26" t="s">
        <v>1462</v>
      </c>
      <c r="F435" s="27" t="s">
        <v>1202</v>
      </c>
      <c r="G435" s="27" t="s">
        <v>605</v>
      </c>
      <c r="H435" s="27" t="s">
        <v>861</v>
      </c>
      <c r="I435" s="6" t="s">
        <v>604</v>
      </c>
      <c r="J435" s="6" t="s">
        <v>861</v>
      </c>
      <c r="K435" s="6"/>
      <c r="L435" s="6"/>
      <c r="M435" s="6"/>
      <c r="N435" s="6"/>
      <c r="O435" s="27" t="s">
        <v>862</v>
      </c>
      <c r="P435" s="34"/>
      <c r="Q435" s="34" t="s">
        <v>1463</v>
      </c>
      <c r="R435" s="29"/>
    </row>
    <row r="436" spans="1:18" ht="17.25" customHeight="1">
      <c r="A436" s="44" t="s">
        <v>416</v>
      </c>
      <c r="B436" s="23" t="str" cm="1">
        <f t="array" ref="B436">_xlfn.TEXTJOIN(", ", TRUE(), _xlfn._xlws.FILTER(Spkrs_Rcrdngs[Speaker],Spkrs_Rcrdngs[Recording]=Rcrdngs[[#This Row],[Text]],"[no speaker selected in Speakers_in_Recordings]"))</f>
        <v>Harran02, Ceylanpinar02, Ceylanpinar04</v>
      </c>
      <c r="C436" s="41" t="str" cm="1">
        <f t="array" ref="C436">_xlfn.TEXTJOIN(", ", TRUE(), _xlfn._xlws.FILTER(Sbcts_Rcrdngs[Subject],Sbcts_Rcrdngs[Recording]=Rcrdngs[[#This Row],[Text]],"[no subject selected in Subjects_in_Recordings]"))</f>
        <v>Borders, Igli Tribe, Tribe Gumeli, Fathers</v>
      </c>
      <c r="D436" s="25">
        <v>44954</v>
      </c>
      <c r="E436" s="26" t="s">
        <v>1464</v>
      </c>
      <c r="F436" s="27" t="s">
        <v>1202</v>
      </c>
      <c r="G436" s="27" t="s">
        <v>605</v>
      </c>
      <c r="H436" s="27" t="s">
        <v>861</v>
      </c>
      <c r="I436" s="6" t="s">
        <v>604</v>
      </c>
      <c r="J436" s="6" t="s">
        <v>861</v>
      </c>
      <c r="K436" s="6"/>
      <c r="L436" s="6"/>
      <c r="M436" s="6"/>
      <c r="N436" s="6"/>
      <c r="O436" s="27" t="s">
        <v>862</v>
      </c>
      <c r="P436" s="34"/>
      <c r="Q436" s="34" t="s">
        <v>1465</v>
      </c>
      <c r="R436" s="29"/>
    </row>
    <row r="437" spans="1:18" ht="17.25" customHeight="1">
      <c r="A437" s="44" t="s">
        <v>417</v>
      </c>
      <c r="B437" s="23" t="str" cm="1">
        <f t="array" ref="B437">_xlfn.TEXTJOIN(", ", TRUE(), _xlfn._xlws.FILTER(Spkrs_Rcrdngs[Speaker],Spkrs_Rcrdngs[Recording]=Rcrdngs[[#This Row],[Text]],"[no speaker selected in Speakers_in_Recordings]"))</f>
        <v>Harran02, Ceylanpinar02, Ceylanpinar04</v>
      </c>
      <c r="C437" s="41" t="str" cm="1">
        <f t="array" ref="C437">_xlfn.TEXTJOIN(", ", TRUE(), _xlfn._xlws.FILTER(Sbcts_Rcrdngs[Subject],Sbcts_Rcrdngs[Recording]=Rcrdngs[[#This Row],[Text]],"[no subject selected in Subjects_in_Recordings]"))</f>
        <v>Tribe Adwan</v>
      </c>
      <c r="D437" s="25">
        <v>44954</v>
      </c>
      <c r="E437" s="26" t="s">
        <v>640</v>
      </c>
      <c r="F437" s="27" t="s">
        <v>1202</v>
      </c>
      <c r="G437" s="27" t="s">
        <v>605</v>
      </c>
      <c r="H437" s="27"/>
      <c r="I437" s="6"/>
      <c r="J437" s="6"/>
      <c r="K437" s="6"/>
      <c r="L437" s="6"/>
      <c r="M437" s="6"/>
      <c r="N437" s="6"/>
      <c r="O437" s="27" t="s">
        <v>862</v>
      </c>
      <c r="P437" s="34"/>
      <c r="Q437" s="34" t="s">
        <v>1466</v>
      </c>
      <c r="R437" s="29"/>
    </row>
    <row r="438" spans="1:18" ht="17.25" customHeight="1">
      <c r="A438" s="44" t="s">
        <v>418</v>
      </c>
      <c r="B438" s="23" t="str" cm="1">
        <f t="array" ref="B438">_xlfn.TEXTJOIN(", ", TRUE(), _xlfn._xlws.FILTER(Spkrs_Rcrdngs[Speaker],Spkrs_Rcrdngs[Recording]=Rcrdngs[[#This Row],[Text]],"[no speaker selected in Speakers_in_Recordings]"))</f>
        <v>Harran02, Ceylanpinar02, Ceylanpinar04</v>
      </c>
      <c r="C438" s="41" t="str" cm="1">
        <f t="array" ref="C438">_xlfn.TEXTJOIN(", ", TRUE(), _xlfn._xlws.FILTER(Sbcts_Rcrdngs[Subject],Sbcts_Rcrdngs[Recording]=Rcrdngs[[#This Row],[Text]],"[no subject selected in Subjects_in_Recordings]"))</f>
        <v>Syrians, History, Erdogan</v>
      </c>
      <c r="D438" s="25">
        <v>44954</v>
      </c>
      <c r="E438" s="26" t="s">
        <v>1467</v>
      </c>
      <c r="F438" s="27" t="s">
        <v>1202</v>
      </c>
      <c r="G438" s="27" t="s">
        <v>605</v>
      </c>
      <c r="H438" s="27"/>
      <c r="I438" s="6"/>
      <c r="J438" s="6"/>
      <c r="K438" s="6"/>
      <c r="L438" s="6"/>
      <c r="M438" s="6"/>
      <c r="N438" s="6"/>
      <c r="O438" s="27" t="s">
        <v>862</v>
      </c>
      <c r="P438" s="34"/>
      <c r="Q438" s="34" t="s">
        <v>1468</v>
      </c>
      <c r="R438" s="29"/>
    </row>
    <row r="439" spans="1:18" ht="17.25" customHeight="1">
      <c r="A439" s="44" t="s">
        <v>419</v>
      </c>
      <c r="B439" s="23" t="str" cm="1">
        <f t="array" ref="B439">_xlfn.TEXTJOIN(", ", TRUE(), _xlfn._xlws.FILTER(Spkrs_Rcrdngs[Speaker],Spkrs_Rcrdngs[Recording]=Rcrdngs[[#This Row],[Text]],"[no speaker selected in Speakers_in_Recordings]"))</f>
        <v>Harran02, Ceylanpinar02, Ceylanpinar04</v>
      </c>
      <c r="C439" s="41" t="str" cm="1">
        <f t="array" ref="C439">_xlfn.TEXTJOIN(", ", TRUE(), _xlfn._xlws.FILTER(Sbcts_Rcrdngs[Subject],Sbcts_Rcrdngs[Recording]=Rcrdngs[[#This Row],[Text]],"[no subject selected in Subjects_in_Recordings]"))</f>
        <v>Own Tribe, Bribing, Arab Countries, People from Former Times, Generous Man</v>
      </c>
      <c r="D439" s="25">
        <v>44954</v>
      </c>
      <c r="E439" s="26" t="s">
        <v>1469</v>
      </c>
      <c r="F439" s="27" t="s">
        <v>1202</v>
      </c>
      <c r="G439" s="27" t="s">
        <v>605</v>
      </c>
      <c r="H439" s="27"/>
      <c r="I439" s="6"/>
      <c r="J439" s="6"/>
      <c r="K439" s="6"/>
      <c r="L439" s="6"/>
      <c r="M439" s="6"/>
      <c r="N439" s="6"/>
      <c r="O439" s="27" t="s">
        <v>862</v>
      </c>
      <c r="P439" s="34"/>
      <c r="Q439" s="34" t="s">
        <v>1470</v>
      </c>
      <c r="R439" s="29"/>
    </row>
    <row r="440" spans="1:18" ht="17.25" customHeight="1">
      <c r="A440" s="44" t="s">
        <v>420</v>
      </c>
      <c r="B440" s="23" t="str" cm="1">
        <f t="array" ref="B440">_xlfn.TEXTJOIN(", ", TRUE(), _xlfn._xlws.FILTER(Spkrs_Rcrdngs[Speaker],Spkrs_Rcrdngs[Recording]=Rcrdngs[[#This Row],[Text]],"[no speaker selected in Speakers_in_Recordings]"))</f>
        <v>Harran02, Ceylanpinar02, Ceylanpinar04</v>
      </c>
      <c r="C440" s="41" t="str" cm="1">
        <f t="array" ref="C440">_xlfn.TEXTJOIN(", ", TRUE(), _xlfn._xlws.FILTER(Sbcts_Rcrdngs[Subject],Sbcts_Rcrdngs[Recording]=Rcrdngs[[#This Row],[Text]],"[no subject selected in Subjects_in_Recordings]"))</f>
        <v>Own Kids, Arab Tribes, Invading Bedouins</v>
      </c>
      <c r="D440" s="25">
        <v>44954</v>
      </c>
      <c r="E440" s="26" t="s">
        <v>1019</v>
      </c>
      <c r="F440" s="27" t="s">
        <v>1202</v>
      </c>
      <c r="G440" s="27" t="s">
        <v>605</v>
      </c>
      <c r="H440" s="27"/>
      <c r="I440" s="6"/>
      <c r="J440" s="6"/>
      <c r="K440" s="6"/>
      <c r="L440" s="6"/>
      <c r="M440" s="6"/>
      <c r="N440" s="6"/>
      <c r="O440" s="27" t="s">
        <v>862</v>
      </c>
      <c r="P440" s="34"/>
      <c r="Q440" s="34" t="s">
        <v>1471</v>
      </c>
      <c r="R440" s="29"/>
    </row>
    <row r="441" spans="1:18" ht="17.25" customHeight="1">
      <c r="A441" s="44" t="s">
        <v>421</v>
      </c>
      <c r="B441" s="23" t="str" cm="1">
        <f t="array" ref="B441">_xlfn.TEXTJOIN(", ", TRUE(), _xlfn._xlws.FILTER(Spkrs_Rcrdngs[Speaker],Spkrs_Rcrdngs[Recording]=Rcrdngs[[#This Row],[Text]],"[no speaker selected in Speakers_in_Recordings]"))</f>
        <v>Harran02, Ceylanpinar02, Ceylanpinar04</v>
      </c>
      <c r="C441" s="41" t="str" cm="1">
        <f t="array" ref="C441">_xlfn.TEXTJOIN(", ", TRUE(), _xlfn._xlws.FILTER(Sbcts_Rcrdngs[Subject],Sbcts_Rcrdngs[Recording]=Rcrdngs[[#This Row],[Text]],"[no subject selected in Subjects_in_Recordings]"))</f>
        <v>Tribe Adwan, Arab Tribes</v>
      </c>
      <c r="D441" s="25">
        <v>44954</v>
      </c>
      <c r="E441" s="26" t="s">
        <v>1472</v>
      </c>
      <c r="F441" s="27" t="s">
        <v>1202</v>
      </c>
      <c r="G441" s="27" t="s">
        <v>605</v>
      </c>
      <c r="H441" s="27"/>
      <c r="I441" s="6"/>
      <c r="J441" s="6"/>
      <c r="K441" s="6"/>
      <c r="L441" s="6"/>
      <c r="M441" s="6"/>
      <c r="N441" s="6"/>
      <c r="O441" s="27" t="s">
        <v>862</v>
      </c>
      <c r="P441" s="34"/>
      <c r="Q441" s="34" t="s">
        <v>1473</v>
      </c>
      <c r="R441" s="29"/>
    </row>
    <row r="442" spans="1:18" ht="17.25" customHeight="1">
      <c r="A442" s="44" t="s">
        <v>422</v>
      </c>
      <c r="B442" s="23" t="str" cm="1">
        <f t="array" ref="B442">_xlfn.TEXTJOIN(", ", TRUE(), _xlfn._xlws.FILTER(Spkrs_Rcrdngs[Speaker],Spkrs_Rcrdngs[Recording]=Rcrdngs[[#This Row],[Text]],"[no speaker selected in Speakers_in_Recordings]"))</f>
        <v>Harran02, Harran14</v>
      </c>
      <c r="C442" s="41" t="str" cm="1">
        <f t="array" ref="C442">_xlfn.TEXTJOIN(", ", TRUE(), _xlfn._xlws.FILTER(Sbcts_Rcrdngs[Subject],Sbcts_Rcrdngs[Recording]=Rcrdngs[[#This Row],[Text]],"[no subject selected in Subjects_in_Recordings]"))</f>
        <v>Erdogan, Importance of Knowledge, Stories</v>
      </c>
      <c r="D442" s="25">
        <v>44957</v>
      </c>
      <c r="E442" s="26" t="s">
        <v>672</v>
      </c>
      <c r="F442" s="27" t="s">
        <v>1202</v>
      </c>
      <c r="G442" s="27" t="s">
        <v>605</v>
      </c>
      <c r="H442" s="27"/>
      <c r="I442" s="6"/>
      <c r="J442" s="6"/>
      <c r="K442" s="6"/>
      <c r="L442" s="6"/>
      <c r="M442" s="6"/>
      <c r="N442" s="6"/>
      <c r="O442" s="27" t="s">
        <v>862</v>
      </c>
      <c r="P442" s="34"/>
      <c r="Q442" s="34" t="s">
        <v>1474</v>
      </c>
      <c r="R442" s="29"/>
    </row>
    <row r="443" spans="1:18" ht="17.25" customHeight="1">
      <c r="A443" s="44" t="s">
        <v>423</v>
      </c>
      <c r="B443" s="23" t="str" cm="1">
        <f t="array" ref="B443">_xlfn.TEXTJOIN(", ", TRUE(), _xlfn._xlws.FILTER(Spkrs_Rcrdngs[Speaker],Spkrs_Rcrdngs[Recording]=Rcrdngs[[#This Row],[Text]],"[no speaker selected in Speakers_in_Recordings]"))</f>
        <v>Harran02, Harran14, Ceylanpinar04</v>
      </c>
      <c r="C443" s="41" t="str" cm="1">
        <f t="array" ref="C443">_xlfn.TEXTJOIN(", ", TRUE(), _xlfn._xlws.FILTER(Sbcts_Rcrdngs[Subject],Sbcts_Rcrdngs[Recording]=Rcrdngs[[#This Row],[Text]],"[no subject selected in Subjects_in_Recordings]"))</f>
        <v>Bad Manners</v>
      </c>
      <c r="D443" s="25">
        <v>44957</v>
      </c>
      <c r="E443" s="26" t="s">
        <v>1475</v>
      </c>
      <c r="F443" s="27" t="s">
        <v>1202</v>
      </c>
      <c r="G443" s="27" t="s">
        <v>605</v>
      </c>
      <c r="H443" s="27"/>
      <c r="I443" s="6"/>
      <c r="J443" s="6"/>
      <c r="K443" s="6"/>
      <c r="L443" s="6"/>
      <c r="M443" s="6"/>
      <c r="N443" s="6"/>
      <c r="O443" s="27" t="s">
        <v>862</v>
      </c>
      <c r="P443" s="34"/>
      <c r="Q443" s="34" t="s">
        <v>1476</v>
      </c>
      <c r="R443" s="29"/>
    </row>
    <row r="444" spans="1:18" ht="17.25" customHeight="1">
      <c r="A444" s="44" t="s">
        <v>424</v>
      </c>
      <c r="B444" s="23" t="str" cm="1">
        <f t="array" ref="B444">_xlfn.TEXTJOIN(", ", TRUE(), _xlfn._xlws.FILTER(Spkrs_Rcrdngs[Speaker],Spkrs_Rcrdngs[Recording]=Rcrdngs[[#This Row],[Text]],"[no speaker selected in Speakers_in_Recordings]"))</f>
        <v>Harran02, Harran14, Ceylanpinar04</v>
      </c>
      <c r="C444" s="41" t="str" cm="1">
        <f t="array" ref="C444">_xlfn.TEXTJOIN(", ", TRUE(), _xlfn._xlws.FILTER(Sbcts_Rcrdngs[Subject],Sbcts_Rcrdngs[Recording]=Rcrdngs[[#This Row],[Text]],"[no subject selected in Subjects_in_Recordings]"))</f>
        <v>A Man's Story, Arabs, A Kurd, Stories</v>
      </c>
      <c r="D444" s="25">
        <v>44957</v>
      </c>
      <c r="E444" s="26" t="s">
        <v>1477</v>
      </c>
      <c r="F444" s="27" t="s">
        <v>1202</v>
      </c>
      <c r="G444" s="27" t="s">
        <v>605</v>
      </c>
      <c r="H444" s="27"/>
      <c r="I444" s="6"/>
      <c r="J444" s="6"/>
      <c r="K444" s="6"/>
      <c r="L444" s="6"/>
      <c r="M444" s="6"/>
      <c r="N444" s="6"/>
      <c r="O444" s="27" t="s">
        <v>862</v>
      </c>
      <c r="P444" s="34"/>
      <c r="Q444" s="34" t="s">
        <v>1478</v>
      </c>
      <c r="R444" s="29"/>
    </row>
    <row r="445" spans="1:18" ht="17.25" customHeight="1">
      <c r="A445" s="44" t="s">
        <v>425</v>
      </c>
      <c r="B445" s="23" t="str" cm="1">
        <f t="array" ref="B445">_xlfn.TEXTJOIN(", ", TRUE(), _xlfn._xlws.FILTER(Spkrs_Rcrdngs[Speaker],Spkrs_Rcrdngs[Recording]=Rcrdngs[[#This Row],[Text]],"[no speaker selected in Speakers_in_Recordings]"))</f>
        <v>Harran02, Harran14, Ceylanpinar04</v>
      </c>
      <c r="C445" s="41" t="str" cm="1">
        <f t="array" ref="C445">_xlfn.TEXTJOIN(", ", TRUE(), _xlfn._xlws.FILTER(Sbcts_Rcrdngs[Subject],Sbcts_Rcrdngs[Recording]=Rcrdngs[[#This Row],[Text]],"[no subject selected in Subjects_in_Recordings]"))</f>
        <v>Stories, As-Sayyid</v>
      </c>
      <c r="D445" s="25">
        <v>44957</v>
      </c>
      <c r="E445" s="26" t="s">
        <v>1479</v>
      </c>
      <c r="F445" s="27" t="s">
        <v>1202</v>
      </c>
      <c r="G445" s="27" t="s">
        <v>605</v>
      </c>
      <c r="H445" s="27"/>
      <c r="I445" s="6"/>
      <c r="J445" s="6"/>
      <c r="K445" s="6"/>
      <c r="L445" s="6"/>
      <c r="M445" s="6"/>
      <c r="N445" s="6"/>
      <c r="O445" s="27" t="s">
        <v>862</v>
      </c>
      <c r="P445" s="34"/>
      <c r="Q445" s="34" t="s">
        <v>1480</v>
      </c>
      <c r="R445" s="29"/>
    </row>
    <row r="446" spans="1:18" ht="17.25" customHeight="1">
      <c r="A446" s="44" t="s">
        <v>426</v>
      </c>
      <c r="B446" s="23" t="str" cm="1">
        <f t="array" ref="B446">_xlfn.TEXTJOIN(", ", TRUE(), _xlfn._xlws.FILTER(Spkrs_Rcrdngs[Speaker],Spkrs_Rcrdngs[Recording]=Rcrdngs[[#This Row],[Text]],"[no speaker selected in Speakers_in_Recordings]"))</f>
        <v>Harran02, Harran14, Ceylanpinar04</v>
      </c>
      <c r="C446" s="41" t="str" cm="1">
        <f t="array" ref="C446">_xlfn.TEXTJOIN(", ", TRUE(), _xlfn._xlws.FILTER(Sbcts_Rcrdngs[Subject],Sbcts_Rcrdngs[Recording]=Rcrdngs[[#This Row],[Text]],"[no subject selected in Subjects_in_Recordings]"))</f>
        <v>Arab Leaders, Arab Tribes</v>
      </c>
      <c r="D446" s="25">
        <v>44957</v>
      </c>
      <c r="E446" s="26" t="s">
        <v>1481</v>
      </c>
      <c r="F446" s="27" t="s">
        <v>1202</v>
      </c>
      <c r="G446" s="27" t="s">
        <v>605</v>
      </c>
      <c r="H446" s="27"/>
      <c r="I446" s="6"/>
      <c r="J446" s="6"/>
      <c r="K446" s="6"/>
      <c r="L446" s="6"/>
      <c r="M446" s="6"/>
      <c r="N446" s="6"/>
      <c r="O446" s="27" t="s">
        <v>862</v>
      </c>
      <c r="P446" s="34"/>
      <c r="Q446" s="34" t="s">
        <v>1482</v>
      </c>
      <c r="R446" s="29"/>
    </row>
    <row r="447" spans="1:18" ht="17.25" customHeight="1">
      <c r="A447" s="44" t="s">
        <v>427</v>
      </c>
      <c r="B447" s="23" t="str" cm="1">
        <f t="array" ref="B447">_xlfn.TEXTJOIN(", ", TRUE(), _xlfn._xlws.FILTER(Spkrs_Rcrdngs[Speaker],Spkrs_Rcrdngs[Recording]=Rcrdngs[[#This Row],[Text]],"[no speaker selected in Speakers_in_Recordings]"))</f>
        <v>Harran02, Harran14, Ceylanpinar04</v>
      </c>
      <c r="C447" s="41" t="str" cm="1">
        <f t="array" ref="C447">_xlfn.TEXTJOIN(", ", TRUE(), _xlfn._xlws.FILTER(Sbcts_Rcrdngs[Subject],Sbcts_Rcrdngs[Recording]=Rcrdngs[[#This Row],[Text]],"[no subject selected in Subjects_in_Recordings]"))</f>
        <v>Sweets</v>
      </c>
      <c r="D447" s="25">
        <v>44957</v>
      </c>
      <c r="E447" s="26" t="s">
        <v>1171</v>
      </c>
      <c r="F447" s="27" t="s">
        <v>1202</v>
      </c>
      <c r="G447" s="27" t="s">
        <v>605</v>
      </c>
      <c r="H447" s="27"/>
      <c r="I447" s="6"/>
      <c r="J447" s="6"/>
      <c r="K447" s="6"/>
      <c r="L447" s="6"/>
      <c r="M447" s="6"/>
      <c r="N447" s="6"/>
      <c r="O447" s="27" t="s">
        <v>862</v>
      </c>
      <c r="P447" s="34"/>
      <c r="Q447" s="34" t="s">
        <v>1483</v>
      </c>
      <c r="R447" s="29"/>
    </row>
    <row r="448" spans="1:18" ht="17.25" customHeight="1">
      <c r="A448" s="44" t="s">
        <v>428</v>
      </c>
      <c r="B448" s="23" t="str" cm="1">
        <f t="array" ref="B448">_xlfn.TEXTJOIN(", ", TRUE(), _xlfn._xlws.FILTER(Spkrs_Rcrdngs[Speaker],Spkrs_Rcrdngs[Recording]=Rcrdngs[[#This Row],[Text]],"[no speaker selected in Speakers_in_Recordings]"))</f>
        <v>Harran02, Harran06</v>
      </c>
      <c r="C448" s="41" t="str" cm="1">
        <f t="array" ref="C448">_xlfn.TEXTJOIN(", ", TRUE(), _xlfn._xlws.FILTER(Sbcts_Rcrdngs[Subject],Sbcts_Rcrdngs[Recording]=Rcrdngs[[#This Row],[Text]],"[no subject selected in Subjects_in_Recordings]"))</f>
        <v>Women, Men</v>
      </c>
      <c r="D448" s="25">
        <v>44968</v>
      </c>
      <c r="E448" s="26" t="s">
        <v>1484</v>
      </c>
      <c r="F448" s="27" t="s">
        <v>1202</v>
      </c>
      <c r="G448" s="27" t="s">
        <v>605</v>
      </c>
      <c r="H448" s="27"/>
      <c r="I448" s="6"/>
      <c r="J448" s="6"/>
      <c r="K448" s="6"/>
      <c r="L448" s="6"/>
      <c r="M448" s="6"/>
      <c r="N448" s="6"/>
      <c r="O448" s="27" t="s">
        <v>862</v>
      </c>
      <c r="P448" s="34"/>
      <c r="Q448" s="34" t="s">
        <v>1485</v>
      </c>
      <c r="R448" s="29"/>
    </row>
    <row r="449" spans="1:18" ht="17.25" customHeight="1">
      <c r="A449" s="44" t="s">
        <v>429</v>
      </c>
      <c r="B449" s="23" t="str" cm="1">
        <f t="array" ref="B449">_xlfn.TEXTJOIN(", ", TRUE(), _xlfn._xlws.FILTER(Spkrs_Rcrdngs[Speaker],Spkrs_Rcrdngs[Recording]=Rcrdngs[[#This Row],[Text]],"[no speaker selected in Speakers_in_Recordings]"))</f>
        <v>Harran06</v>
      </c>
      <c r="C449" s="41" t="str" cm="1">
        <f t="array" ref="C449">_xlfn.TEXTJOIN(", ", TRUE(), _xlfn._xlws.FILTER(Sbcts_Rcrdngs[Subject],Sbcts_Rcrdngs[Recording]=Rcrdngs[[#This Row],[Text]],"[no subject selected in Subjects_in_Recordings]"))</f>
        <v>Lovers</v>
      </c>
      <c r="D449" s="25">
        <v>44968</v>
      </c>
      <c r="E449" s="26" t="s">
        <v>1486</v>
      </c>
      <c r="F449" s="27" t="s">
        <v>1202</v>
      </c>
      <c r="G449" s="27" t="s">
        <v>605</v>
      </c>
      <c r="H449" s="27"/>
      <c r="I449" s="6"/>
      <c r="J449" s="6"/>
      <c r="K449" s="6"/>
      <c r="L449" s="6"/>
      <c r="M449" s="6"/>
      <c r="N449" s="6"/>
      <c r="O449" s="27" t="s">
        <v>862</v>
      </c>
      <c r="P449" s="34"/>
      <c r="Q449" s="34" t="s">
        <v>1487</v>
      </c>
      <c r="R449" s="29"/>
    </row>
    <row r="450" spans="1:18" ht="17.25" customHeight="1">
      <c r="A450" s="44" t="s">
        <v>430</v>
      </c>
      <c r="B450" s="23" t="str" cm="1">
        <f t="array" ref="B450">_xlfn.TEXTJOIN(", ", TRUE(), _xlfn._xlws.FILTER(Spkrs_Rcrdngs[Speaker],Spkrs_Rcrdngs[Recording]=Rcrdngs[[#This Row],[Text]],"[no speaker selected in Speakers_in_Recordings]"))</f>
        <v>Harran02, Harran06</v>
      </c>
      <c r="C450" s="41" t="str" cm="1">
        <f t="array" ref="C450">_xlfn.TEXTJOIN(", ", TRUE(), _xlfn._xlws.FILTER(Sbcts_Rcrdngs[Subject],Sbcts_Rcrdngs[Recording]=Rcrdngs[[#This Row],[Text]],"[no subject selected in Subjects_in_Recordings]"))</f>
        <v>Story of a Woman</v>
      </c>
      <c r="D450" s="25">
        <v>44968</v>
      </c>
      <c r="E450" s="26" t="s">
        <v>908</v>
      </c>
      <c r="F450" s="27" t="s">
        <v>1202</v>
      </c>
      <c r="G450" s="27" t="s">
        <v>605</v>
      </c>
      <c r="H450" s="27"/>
      <c r="I450" s="6"/>
      <c r="J450" s="6"/>
      <c r="K450" s="6"/>
      <c r="L450" s="6"/>
      <c r="M450" s="6"/>
      <c r="N450" s="6"/>
      <c r="O450" s="27" t="s">
        <v>862</v>
      </c>
      <c r="P450" s="34"/>
      <c r="Q450" s="34" t="s">
        <v>1488</v>
      </c>
      <c r="R450" s="29"/>
    </row>
    <row r="451" spans="1:18" ht="17.25" customHeight="1">
      <c r="A451" s="44" t="s">
        <v>431</v>
      </c>
      <c r="B451" s="23" t="str" cm="1">
        <f t="array" ref="B451">_xlfn.TEXTJOIN(", ", TRUE(), _xlfn._xlws.FILTER(Spkrs_Rcrdngs[Speaker],Spkrs_Rcrdngs[Recording]=Rcrdngs[[#This Row],[Text]],"[no speaker selected in Speakers_in_Recordings]"))</f>
        <v>Harran04</v>
      </c>
      <c r="C451" s="41" t="str" cm="1">
        <f t="array" ref="C451">_xlfn.TEXTJOIN(", ", TRUE(), _xlfn._xlws.FILTER(Sbcts_Rcrdngs[Subject],Sbcts_Rcrdngs[Recording]=Rcrdngs[[#This Row],[Text]],"[no subject selected in Subjects_in_Recordings]"))</f>
        <v>Family Problems</v>
      </c>
      <c r="D451" s="25">
        <v>44998</v>
      </c>
      <c r="E451" s="26" t="s">
        <v>918</v>
      </c>
      <c r="F451" s="27" t="s">
        <v>861</v>
      </c>
      <c r="G451" s="27" t="s">
        <v>605</v>
      </c>
      <c r="H451" s="27"/>
      <c r="I451" s="6"/>
      <c r="J451" s="6"/>
      <c r="K451" s="6"/>
      <c r="L451" s="6"/>
      <c r="M451" s="6"/>
      <c r="N451" s="6"/>
      <c r="O451" s="27" t="s">
        <v>862</v>
      </c>
      <c r="P451" s="34"/>
      <c r="Q451" s="34" t="s">
        <v>1489</v>
      </c>
      <c r="R451" s="29"/>
    </row>
    <row r="452" spans="1:18" ht="17.25" customHeight="1">
      <c r="A452" s="44" t="s">
        <v>432</v>
      </c>
      <c r="B452" s="23" t="str" cm="1">
        <f t="array" ref="B452">_xlfn.TEXTJOIN(", ", TRUE(), _xlfn._xlws.FILTER(Spkrs_Rcrdngs[Speaker],Spkrs_Rcrdngs[Recording]=Rcrdngs[[#This Row],[Text]],"[no speaker selected in Speakers_in_Recordings]"))</f>
        <v>Harran03</v>
      </c>
      <c r="C452" s="41" t="str" cm="1">
        <f t="array" ref="C452">_xlfn.TEXTJOIN(", ", TRUE(), _xlfn._xlws.FILTER(Sbcts_Rcrdngs[Subject],Sbcts_Rcrdngs[Recording]=Rcrdngs[[#This Row],[Text]],"[no subject selected in Subjects_in_Recordings]"))</f>
        <v>Water-Well</v>
      </c>
      <c r="D452" s="25">
        <v>45050</v>
      </c>
      <c r="E452" s="26" t="s">
        <v>1490</v>
      </c>
      <c r="F452" s="27" t="s">
        <v>861</v>
      </c>
      <c r="G452" s="27" t="s">
        <v>605</v>
      </c>
      <c r="H452" s="27" t="s">
        <v>861</v>
      </c>
      <c r="I452" s="6" t="s">
        <v>604</v>
      </c>
      <c r="J452" s="6" t="s">
        <v>861</v>
      </c>
      <c r="K452" s="6"/>
      <c r="L452" s="6"/>
      <c r="M452" s="6"/>
      <c r="N452" s="6"/>
      <c r="O452" s="27" t="s">
        <v>862</v>
      </c>
      <c r="P452" s="34"/>
      <c r="Q452" s="34" t="s">
        <v>1491</v>
      </c>
      <c r="R452" s="29"/>
    </row>
    <row r="453" spans="1:18" ht="17.25" customHeight="1">
      <c r="A453" s="44" t="s">
        <v>433</v>
      </c>
      <c r="B453" s="23" t="str" cm="1">
        <f t="array" ref="B453">_xlfn.TEXTJOIN(", ", TRUE(), _xlfn._xlws.FILTER(Spkrs_Rcrdngs[Speaker],Spkrs_Rcrdngs[Recording]=Rcrdngs[[#This Row],[Text]],"[no speaker selected in Speakers_in_Recordings]"))</f>
        <v>Harran03</v>
      </c>
      <c r="C453" s="41" t="str" cm="1">
        <f t="array" ref="C453">_xlfn.TEXTJOIN(", ", TRUE(), _xlfn._xlws.FILTER(Sbcts_Rcrdngs[Subject],Sbcts_Rcrdngs[Recording]=Rcrdngs[[#This Row],[Text]],"[no subject selected in Subjects_in_Recordings]"))</f>
        <v>Father and Donkey</v>
      </c>
      <c r="D453" s="25">
        <v>45050</v>
      </c>
      <c r="E453" s="26" t="s">
        <v>1492</v>
      </c>
      <c r="F453" s="27" t="s">
        <v>861</v>
      </c>
      <c r="G453" s="27" t="s">
        <v>605</v>
      </c>
      <c r="H453" s="27"/>
      <c r="I453" s="6"/>
      <c r="J453" s="6"/>
      <c r="K453" s="6"/>
      <c r="L453" s="6"/>
      <c r="M453" s="6"/>
      <c r="N453" s="6"/>
      <c r="O453" s="27" t="s">
        <v>862</v>
      </c>
      <c r="P453" s="34"/>
      <c r="Q453" s="34" t="s">
        <v>1493</v>
      </c>
      <c r="R453" s="29"/>
    </row>
    <row r="454" spans="1:18" ht="17.25" customHeight="1">
      <c r="A454" s="44" t="s">
        <v>434</v>
      </c>
      <c r="B454" s="23" t="str" cm="1">
        <f t="array" ref="B454">_xlfn.TEXTJOIN(", ", TRUE(), _xlfn._xlws.FILTER(Spkrs_Rcrdngs[Speaker],Spkrs_Rcrdngs[Recording]=Rcrdngs[[#This Row],[Text]],"[no speaker selected in Speakers_in_Recordings]"))</f>
        <v>Harran03</v>
      </c>
      <c r="C454" s="41" t="str" cm="1">
        <f t="array" ref="C454">_xlfn.TEXTJOIN(", ", TRUE(), _xlfn._xlws.FILTER(Sbcts_Rcrdngs[Subject],Sbcts_Rcrdngs[Recording]=Rcrdngs[[#This Row],[Text]],"[no subject selected in Subjects_in_Recordings]"))</f>
        <v>Maternal Uncles</v>
      </c>
      <c r="D454" s="25">
        <v>45051</v>
      </c>
      <c r="E454" s="26" t="s">
        <v>1494</v>
      </c>
      <c r="F454" s="27" t="s">
        <v>861</v>
      </c>
      <c r="G454" s="27" t="s">
        <v>605</v>
      </c>
      <c r="H454" s="27"/>
      <c r="I454" s="6"/>
      <c r="J454" s="6"/>
      <c r="K454" s="6"/>
      <c r="L454" s="6"/>
      <c r="M454" s="6"/>
      <c r="N454" s="6"/>
      <c r="O454" s="27" t="s">
        <v>862</v>
      </c>
      <c r="P454" s="34"/>
      <c r="Q454" s="34" t="s">
        <v>1495</v>
      </c>
      <c r="R454" s="29"/>
    </row>
    <row r="455" spans="1:18" ht="17.25" customHeight="1">
      <c r="A455" s="44" t="s">
        <v>435</v>
      </c>
      <c r="B455" s="23" t="str" cm="1">
        <f t="array" ref="B455">_xlfn.TEXTJOIN(", ", TRUE(), _xlfn._xlws.FILTER(Spkrs_Rcrdngs[Speaker],Spkrs_Rcrdngs[Recording]=Rcrdngs[[#This Row],[Text]],"[no speaker selected in Speakers_in_Recordings]"))</f>
        <v>Harran03</v>
      </c>
      <c r="C455" s="41" t="str" cm="1">
        <f t="array" ref="C455">_xlfn.TEXTJOIN(", ", TRUE(), _xlfn._xlws.FILTER(Sbcts_Rcrdngs[Subject],Sbcts_Rcrdngs[Recording]=Rcrdngs[[#This Row],[Text]],"[no subject selected in Subjects_in_Recordings]"))</f>
        <v>Family Story</v>
      </c>
      <c r="D455" s="25">
        <v>45051</v>
      </c>
      <c r="E455" s="26" t="s">
        <v>1496</v>
      </c>
      <c r="F455" s="27" t="s">
        <v>861</v>
      </c>
      <c r="G455" s="27" t="s">
        <v>605</v>
      </c>
      <c r="H455" s="27" t="s">
        <v>861</v>
      </c>
      <c r="I455" s="6" t="s">
        <v>604</v>
      </c>
      <c r="J455" s="6" t="s">
        <v>861</v>
      </c>
      <c r="K455" s="6"/>
      <c r="L455" s="6"/>
      <c r="M455" s="6"/>
      <c r="N455" s="6"/>
      <c r="O455" s="27" t="s">
        <v>862</v>
      </c>
      <c r="P455" s="34"/>
      <c r="Q455" s="34" t="s">
        <v>1497</v>
      </c>
      <c r="R455" s="29"/>
    </row>
    <row r="456" spans="1:18" ht="17.25" customHeight="1">
      <c r="A456" s="44" t="s">
        <v>436</v>
      </c>
      <c r="B456" s="23" t="str" cm="1">
        <f t="array" ref="B456">_xlfn.TEXTJOIN(", ", TRUE(), _xlfn._xlws.FILTER(Spkrs_Rcrdngs[Speaker],Spkrs_Rcrdngs[Recording]=Rcrdngs[[#This Row],[Text]],"[no speaker selected in Speakers_in_Recordings]"))</f>
        <v>Mezra02</v>
      </c>
      <c r="C456" s="24" t="str" cm="1">
        <f t="array" ref="C456">_xlfn.TEXTJOIN(", ", TRUE(), _xlfn._xlws.FILTER(Sbcts_Rcrdngs[Subject],Sbcts_Rcrdngs[Recording]=Rcrdngs[[#This Row],[Text]],"[no subject selected in Subjects_in_Recordings]"))</f>
        <v>Conversation</v>
      </c>
      <c r="D456" s="25">
        <v>45052</v>
      </c>
      <c r="E456" s="26" t="s">
        <v>1498</v>
      </c>
      <c r="F456" s="27" t="s">
        <v>861</v>
      </c>
      <c r="G456" s="27" t="s">
        <v>605</v>
      </c>
      <c r="H456" s="27"/>
      <c r="I456" s="6"/>
      <c r="J456" s="6"/>
      <c r="K456" s="6"/>
      <c r="L456" s="6"/>
      <c r="M456" s="6"/>
      <c r="N456" s="6"/>
      <c r="O456" s="27" t="s">
        <v>862</v>
      </c>
      <c r="P456" s="34"/>
      <c r="Q456" s="28" t="s">
        <v>1499</v>
      </c>
      <c r="R456" s="29"/>
    </row>
    <row r="457" spans="1:18" ht="17.25" customHeight="1">
      <c r="A457" s="44" t="s">
        <v>437</v>
      </c>
      <c r="B457" s="23" t="str" cm="1">
        <f t="array" ref="B457">_xlfn.TEXTJOIN(", ", TRUE(), _xlfn._xlws.FILTER(Spkrs_Rcrdngs[Speaker],Spkrs_Rcrdngs[Recording]=Rcrdngs[[#This Row],[Text]],"[no speaker selected in Speakers_in_Recordings]"))</f>
        <v>Mezra02</v>
      </c>
      <c r="C457" s="41" t="str" cm="1">
        <f t="array" ref="C457">_xlfn.TEXTJOIN(", ", TRUE(), _xlfn._xlws.FILTER(Sbcts_Rcrdngs[Subject],Sbcts_Rcrdngs[Recording]=Rcrdngs[[#This Row],[Text]],"[no subject selected in Subjects_in_Recordings]"))</f>
        <v>Conversation</v>
      </c>
      <c r="D457" s="25">
        <v>45052</v>
      </c>
      <c r="E457" s="26" t="s">
        <v>1500</v>
      </c>
      <c r="F457" s="27" t="s">
        <v>861</v>
      </c>
      <c r="G457" s="27" t="s">
        <v>605</v>
      </c>
      <c r="H457" s="27"/>
      <c r="I457" s="6"/>
      <c r="J457" s="6"/>
      <c r="K457" s="6"/>
      <c r="L457" s="6"/>
      <c r="M457" s="6"/>
      <c r="N457" s="6"/>
      <c r="O457" s="27" t="s">
        <v>862</v>
      </c>
      <c r="P457" s="34"/>
      <c r="Q457" s="34" t="s">
        <v>1501</v>
      </c>
      <c r="R457" s="29"/>
    </row>
    <row r="458" spans="1:18" ht="17.25" customHeight="1">
      <c r="A458" s="44" t="s">
        <v>438</v>
      </c>
      <c r="B458" s="23" t="str" cm="1">
        <f t="array" ref="B458">_xlfn.TEXTJOIN(", ", TRUE(), _xlfn._xlws.FILTER(Spkrs_Rcrdngs[Speaker],Spkrs_Rcrdngs[Recording]=Rcrdngs[[#This Row],[Text]],"[no speaker selected in Speakers_in_Recordings]"))</f>
        <v>Mezra02</v>
      </c>
      <c r="C458" s="41" t="str" cm="1">
        <f t="array" ref="C458">_xlfn.TEXTJOIN(", ", TRUE(), _xlfn._xlws.FILTER(Sbcts_Rcrdngs[Subject],Sbcts_Rcrdngs[Recording]=Rcrdngs[[#This Row],[Text]],"[no subject selected in Subjects_in_Recordings]"))</f>
        <v>Questionnaire</v>
      </c>
      <c r="D458" s="25">
        <v>45052</v>
      </c>
      <c r="E458" s="26" t="s">
        <v>1502</v>
      </c>
      <c r="F458" s="27" t="s">
        <v>861</v>
      </c>
      <c r="G458" s="27" t="s">
        <v>605</v>
      </c>
      <c r="H458" s="27"/>
      <c r="I458" s="6"/>
      <c r="J458" s="6"/>
      <c r="K458" s="6"/>
      <c r="L458" s="6"/>
      <c r="M458" s="6"/>
      <c r="N458" s="6"/>
      <c r="O458" s="27" t="s">
        <v>862</v>
      </c>
      <c r="P458" s="34"/>
      <c r="Q458" s="34" t="s">
        <v>1503</v>
      </c>
      <c r="R458" s="29"/>
    </row>
    <row r="459" spans="1:18" ht="17.25" customHeight="1">
      <c r="A459" s="44" t="s">
        <v>439</v>
      </c>
      <c r="B459" s="23" t="str" cm="1">
        <f t="array" ref="B459">_xlfn.TEXTJOIN(", ", TRUE(), _xlfn._xlws.FILTER(Spkrs_Rcrdngs[Speaker],Spkrs_Rcrdngs[Recording]=Rcrdngs[[#This Row],[Text]],"[no speaker selected in Speakers_in_Recordings]"))</f>
        <v>Mezra02, Mezra03</v>
      </c>
      <c r="C459" s="41" t="str" cm="1">
        <f t="array" ref="C459">_xlfn.TEXTJOIN(", ", TRUE(), _xlfn._xlws.FILTER(Sbcts_Rcrdngs[Subject],Sbcts_Rcrdngs[Recording]=Rcrdngs[[#This Row],[Text]],"[no subject selected in Subjects_in_Recordings]"))</f>
        <v>Earthquake</v>
      </c>
      <c r="D459" s="25">
        <v>45052</v>
      </c>
      <c r="E459" s="26" t="s">
        <v>1425</v>
      </c>
      <c r="F459" s="27" t="s">
        <v>861</v>
      </c>
      <c r="G459" s="27" t="s">
        <v>605</v>
      </c>
      <c r="H459" s="27" t="s">
        <v>861</v>
      </c>
      <c r="I459" s="6" t="s">
        <v>604</v>
      </c>
      <c r="J459" s="6" t="s">
        <v>861</v>
      </c>
      <c r="K459" s="6" t="s">
        <v>861</v>
      </c>
      <c r="L459" s="6" t="s">
        <v>604</v>
      </c>
      <c r="M459" s="6" t="s">
        <v>604</v>
      </c>
      <c r="N459" s="6"/>
      <c r="O459" s="27" t="s">
        <v>862</v>
      </c>
      <c r="P459" s="34"/>
      <c r="Q459" s="34" t="s">
        <v>1504</v>
      </c>
      <c r="R459" s="29"/>
    </row>
    <row r="460" spans="1:18" ht="17.25" customHeight="1">
      <c r="A460" s="44" t="s">
        <v>440</v>
      </c>
      <c r="B460" s="23" t="str" cm="1">
        <f t="array" ref="B460">_xlfn.TEXTJOIN(", ", TRUE(), _xlfn._xlws.FILTER(Spkrs_Rcrdngs[Speaker],Spkrs_Rcrdngs[Recording]=Rcrdngs[[#This Row],[Text]],"[no speaker selected in Speakers_in_Recordings]"))</f>
        <v>Mezra02</v>
      </c>
      <c r="C460" s="41" t="str" cm="1">
        <f t="array" ref="C460">_xlfn.TEXTJOIN(", ", TRUE(), _xlfn._xlws.FILTER(Sbcts_Rcrdngs[Subject],Sbcts_Rcrdngs[Recording]=Rcrdngs[[#This Row],[Text]],"[no subject selected in Subjects_in_Recordings]"))</f>
        <v>Conversation</v>
      </c>
      <c r="D460" s="25">
        <v>45052</v>
      </c>
      <c r="E460" s="26" t="s">
        <v>1026</v>
      </c>
      <c r="F460" s="27" t="s">
        <v>861</v>
      </c>
      <c r="G460" s="27" t="s">
        <v>605</v>
      </c>
      <c r="H460" s="27"/>
      <c r="I460" s="6"/>
      <c r="J460" s="6"/>
      <c r="K460" s="6"/>
      <c r="L460" s="6"/>
      <c r="M460" s="6"/>
      <c r="N460" s="6"/>
      <c r="O460" s="27" t="s">
        <v>862</v>
      </c>
      <c r="P460" s="34"/>
      <c r="Q460" s="34" t="s">
        <v>1505</v>
      </c>
      <c r="R460" s="29"/>
    </row>
    <row r="461" spans="1:18" ht="17.25" customHeight="1">
      <c r="A461" s="44" t="s">
        <v>441</v>
      </c>
      <c r="B461" s="23" t="str" cm="1">
        <f t="array" ref="B461">_xlfn.TEXTJOIN(", ", TRUE(), _xlfn._xlws.FILTER(Spkrs_Rcrdngs[Speaker],Spkrs_Rcrdngs[Recording]=Rcrdngs[[#This Row],[Text]],"[no speaker selected in Speakers_in_Recordings]"))</f>
        <v>Mezra02</v>
      </c>
      <c r="C461" s="41" t="str" cm="1">
        <f t="array" ref="C461">_xlfn.TEXTJOIN(", ", TRUE(), _xlfn._xlws.FILTER(Sbcts_Rcrdngs[Subject],Sbcts_Rcrdngs[Recording]=Rcrdngs[[#This Row],[Text]],"[no subject selected in Subjects_in_Recordings]"))</f>
        <v>Conversation</v>
      </c>
      <c r="D461" s="25">
        <v>45052</v>
      </c>
      <c r="E461" s="26" t="s">
        <v>1506</v>
      </c>
      <c r="F461" s="27" t="s">
        <v>861</v>
      </c>
      <c r="G461" s="27" t="s">
        <v>605</v>
      </c>
      <c r="H461" s="27"/>
      <c r="I461" s="6"/>
      <c r="J461" s="6"/>
      <c r="K461" s="6"/>
      <c r="L461" s="6"/>
      <c r="M461" s="6"/>
      <c r="N461" s="6"/>
      <c r="O461" s="27" t="s">
        <v>862</v>
      </c>
      <c r="P461" s="34"/>
      <c r="Q461" s="34" t="s">
        <v>1507</v>
      </c>
      <c r="R461" s="29"/>
    </row>
    <row r="462" spans="1:18" ht="17.25" customHeight="1">
      <c r="A462" s="44" t="s">
        <v>442</v>
      </c>
      <c r="B462" s="23" t="str" cm="1">
        <f t="array" ref="B462">_xlfn.TEXTJOIN(", ", TRUE(), _xlfn._xlws.FILTER(Spkrs_Rcrdngs[Speaker],Spkrs_Rcrdngs[Recording]=Rcrdngs[[#This Row],[Text]],"[no speaker selected in Speakers_in_Recordings]"))</f>
        <v>Mezra02</v>
      </c>
      <c r="C462" s="41" t="str" cm="1">
        <f t="array" ref="C462">_xlfn.TEXTJOIN(", ", TRUE(), _xlfn._xlws.FILTER(Sbcts_Rcrdngs[Subject],Sbcts_Rcrdngs[Recording]=Rcrdngs[[#This Row],[Text]],"[no subject selected in Subjects_in_Recordings]"))</f>
        <v>Conversation</v>
      </c>
      <c r="D462" s="25">
        <v>45052</v>
      </c>
      <c r="E462" s="26" t="s">
        <v>1508</v>
      </c>
      <c r="F462" s="27" t="s">
        <v>861</v>
      </c>
      <c r="G462" s="27" t="s">
        <v>605</v>
      </c>
      <c r="H462" s="27"/>
      <c r="I462" s="6"/>
      <c r="J462" s="6"/>
      <c r="K462" s="6"/>
      <c r="L462" s="6"/>
      <c r="M462" s="6"/>
      <c r="N462" s="6"/>
      <c r="O462" s="27" t="s">
        <v>862</v>
      </c>
      <c r="P462" s="34"/>
      <c r="Q462" s="34" t="s">
        <v>1509</v>
      </c>
      <c r="R462" s="29"/>
    </row>
    <row r="463" spans="1:18" ht="17.25" customHeight="1">
      <c r="A463" s="44" t="s">
        <v>443</v>
      </c>
      <c r="B463" s="23" t="str" cm="1">
        <f t="array" ref="B463">_xlfn.TEXTJOIN(", ", TRUE(), _xlfn._xlws.FILTER(Spkrs_Rcrdngs[Speaker],Spkrs_Rcrdngs[Recording]=Rcrdngs[[#This Row],[Text]],"[no speaker selected in Speakers_in_Recordings]"))</f>
        <v>Mezra02</v>
      </c>
      <c r="C463" s="41" t="str" cm="1">
        <f t="array" ref="C463">_xlfn.TEXTJOIN(", ", TRUE(), _xlfn._xlws.FILTER(Sbcts_Rcrdngs[Subject],Sbcts_Rcrdngs[Recording]=Rcrdngs[[#This Row],[Text]],"[no subject selected in Subjects_in_Recordings]"))</f>
        <v>Conversation</v>
      </c>
      <c r="D463" s="25">
        <v>45052</v>
      </c>
      <c r="E463" s="26" t="s">
        <v>894</v>
      </c>
      <c r="F463" s="27" t="s">
        <v>861</v>
      </c>
      <c r="G463" s="27" t="s">
        <v>605</v>
      </c>
      <c r="H463" s="27"/>
      <c r="I463" s="6"/>
      <c r="J463" s="6"/>
      <c r="K463" s="6"/>
      <c r="L463" s="6"/>
      <c r="M463" s="6"/>
      <c r="N463" s="6"/>
      <c r="O463" s="27" t="s">
        <v>862</v>
      </c>
      <c r="P463" s="34"/>
      <c r="Q463" s="34" t="s">
        <v>1510</v>
      </c>
      <c r="R463" s="29"/>
    </row>
    <row r="464" spans="1:18" ht="17.25" customHeight="1">
      <c r="A464" s="44" t="s">
        <v>444</v>
      </c>
      <c r="B464" s="23" t="str" cm="1">
        <f t="array" ref="B464">_xlfn.TEXTJOIN(", ", TRUE(), _xlfn._xlws.FILTER(Spkrs_Rcrdngs[Speaker],Spkrs_Rcrdngs[Recording]=Rcrdngs[[#This Row],[Text]],"[no speaker selected in Speakers_in_Recordings]"))</f>
        <v>Mezra02</v>
      </c>
      <c r="C464" s="41" t="str" cm="1">
        <f t="array" ref="C464">_xlfn.TEXTJOIN(", ", TRUE(), _xlfn._xlws.FILTER(Sbcts_Rcrdngs[Subject],Sbcts_Rcrdngs[Recording]=Rcrdngs[[#This Row],[Text]],"[no subject selected in Subjects_in_Recordings]"))</f>
        <v>Conversation</v>
      </c>
      <c r="D464" s="25">
        <v>45052</v>
      </c>
      <c r="E464" s="26" t="s">
        <v>1511</v>
      </c>
      <c r="F464" s="27" t="s">
        <v>861</v>
      </c>
      <c r="G464" s="27" t="s">
        <v>605</v>
      </c>
      <c r="H464" s="27"/>
      <c r="I464" s="6"/>
      <c r="J464" s="6"/>
      <c r="K464" s="6"/>
      <c r="L464" s="6"/>
      <c r="M464" s="6"/>
      <c r="N464" s="6"/>
      <c r="O464" s="27" t="s">
        <v>862</v>
      </c>
      <c r="P464" s="34"/>
      <c r="Q464" s="34" t="s">
        <v>1512</v>
      </c>
      <c r="R464" s="29"/>
    </row>
    <row r="465" spans="1:18" ht="17.25" customHeight="1">
      <c r="A465" s="44" t="s">
        <v>1513</v>
      </c>
      <c r="B465" s="23" t="str" cm="1">
        <f t="array" ref="B465">_xlfn.TEXTJOIN(", ", TRUE(), _xlfn._xlws.FILTER(Spkrs_Rcrdngs[Speaker],Spkrs_Rcrdngs[Recording]=Rcrdngs[[#This Row],[Text]],"[no speaker selected in Speakers_in_Recordings]"))</f>
        <v>Mezra02</v>
      </c>
      <c r="C465" s="41" t="str" cm="1">
        <f t="array" ref="C465">_xlfn.TEXTJOIN(", ", TRUE(), _xlfn._xlws.FILTER(Sbcts_Rcrdngs[Subject],Sbcts_Rcrdngs[Recording]=Rcrdngs[[#This Row],[Text]],"[no subject selected in Subjects_in_Recordings]"))</f>
        <v>Questionnaire</v>
      </c>
      <c r="D465" s="25">
        <v>45052</v>
      </c>
      <c r="E465" s="26" t="s">
        <v>1514</v>
      </c>
      <c r="F465" s="27" t="s">
        <v>861</v>
      </c>
      <c r="G465" s="27" t="s">
        <v>605</v>
      </c>
      <c r="H465" s="27"/>
      <c r="I465" s="6"/>
      <c r="J465" s="6"/>
      <c r="K465" s="6"/>
      <c r="L465" s="6"/>
      <c r="M465" s="6"/>
      <c r="N465" s="6"/>
      <c r="O465" s="27" t="s">
        <v>862</v>
      </c>
      <c r="P465" s="34"/>
      <c r="Q465" s="34" t="s">
        <v>1515</v>
      </c>
      <c r="R465" s="29"/>
    </row>
    <row r="466" spans="1:18" ht="17.25" customHeight="1">
      <c r="A466" s="44" t="s">
        <v>1516</v>
      </c>
      <c r="B466" s="23" t="str" cm="1">
        <f t="array" ref="B466">_xlfn.TEXTJOIN(", ", TRUE(), _xlfn._xlws.FILTER(Spkrs_Rcrdngs[Speaker],Spkrs_Rcrdngs[Recording]=Rcrdngs[[#This Row],[Text]],"[no speaker selected in Speakers_in_Recordings]"))</f>
        <v>Mezra02</v>
      </c>
      <c r="C466" s="41" t="str" cm="1">
        <f t="array" ref="C466">_xlfn.TEXTJOIN(", ", TRUE(), _xlfn._xlws.FILTER(Sbcts_Rcrdngs[Subject],Sbcts_Rcrdngs[Recording]=Rcrdngs[[#This Row],[Text]],"[no subject selected in Subjects_in_Recordings]"))</f>
        <v>Questionnaire</v>
      </c>
      <c r="D466" s="25">
        <v>45052</v>
      </c>
      <c r="E466" s="26" t="s">
        <v>1517</v>
      </c>
      <c r="F466" s="27" t="s">
        <v>861</v>
      </c>
      <c r="G466" s="27" t="s">
        <v>605</v>
      </c>
      <c r="H466" s="27"/>
      <c r="I466" s="6"/>
      <c r="J466" s="6"/>
      <c r="K466" s="6"/>
      <c r="L466" s="6"/>
      <c r="M466" s="6"/>
      <c r="N466" s="6"/>
      <c r="O466" s="27" t="s">
        <v>862</v>
      </c>
      <c r="P466" s="34"/>
      <c r="Q466" s="34" t="s">
        <v>1518</v>
      </c>
      <c r="R466" s="29"/>
    </row>
    <row r="467" spans="1:18" ht="17.25" customHeight="1">
      <c r="A467" s="44" t="s">
        <v>1519</v>
      </c>
      <c r="B467" s="23" t="str" cm="1">
        <f t="array" ref="B467">_xlfn.TEXTJOIN(", ", TRUE(), _xlfn._xlws.FILTER(Spkrs_Rcrdngs[Speaker],Spkrs_Rcrdngs[Recording]=Rcrdngs[[#This Row],[Text]],"[no speaker selected in Speakers_in_Recordings]"))</f>
        <v>Mezra03</v>
      </c>
      <c r="C467" s="41" t="str" cm="1">
        <f t="array" ref="C467">_xlfn.TEXTJOIN(", ", TRUE(), _xlfn._xlws.FILTER(Sbcts_Rcrdngs[Subject],Sbcts_Rcrdngs[Recording]=Rcrdngs[[#This Row],[Text]],"[no subject selected in Subjects_in_Recordings]"))</f>
        <v>Consent</v>
      </c>
      <c r="D467" s="25">
        <v>45052</v>
      </c>
      <c r="E467" s="26" t="s">
        <v>908</v>
      </c>
      <c r="F467" s="27" t="s">
        <v>861</v>
      </c>
      <c r="G467" s="27" t="s">
        <v>605</v>
      </c>
      <c r="H467" s="27"/>
      <c r="I467" s="6"/>
      <c r="J467" s="6"/>
      <c r="K467" s="6"/>
      <c r="L467" s="6"/>
      <c r="M467" s="6"/>
      <c r="N467" s="6"/>
      <c r="O467" s="27" t="s">
        <v>862</v>
      </c>
      <c r="P467" s="34"/>
      <c r="Q467" s="34" t="s">
        <v>1520</v>
      </c>
      <c r="R467" s="29"/>
    </row>
    <row r="468" spans="1:18" ht="17.25" customHeight="1">
      <c r="A468" s="44" t="s">
        <v>448</v>
      </c>
      <c r="B468" s="23" t="str" cm="1">
        <f t="array" ref="B468">_xlfn.TEXTJOIN(", ", TRUE(), _xlfn._xlws.FILTER(Spkrs_Rcrdngs[Speaker],Spkrs_Rcrdngs[Recording]=Rcrdngs[[#This Row],[Text]],"[no speaker selected in Speakers_in_Recordings]"))</f>
        <v>Harran03</v>
      </c>
      <c r="C468" s="41" t="str" cm="1">
        <f t="array" ref="C468">_xlfn.TEXTJOIN(", ", TRUE(), _xlfn._xlws.FILTER(Sbcts_Rcrdngs[Subject],Sbcts_Rcrdngs[Recording]=Rcrdngs[[#This Row],[Text]],"[no subject selected in Subjects_in_Recordings]"))</f>
        <v>Sheikh Sulayman</v>
      </c>
      <c r="D468" s="25">
        <v>45052</v>
      </c>
      <c r="E468" s="26" t="s">
        <v>1521</v>
      </c>
      <c r="F468" s="27" t="s">
        <v>861</v>
      </c>
      <c r="G468" s="27" t="s">
        <v>605</v>
      </c>
      <c r="H468" s="27"/>
      <c r="I468" s="6"/>
      <c r="J468" s="6"/>
      <c r="K468" s="6"/>
      <c r="L468" s="6"/>
      <c r="M468" s="6"/>
      <c r="N468" s="6"/>
      <c r="O468" s="27" t="s">
        <v>862</v>
      </c>
      <c r="P468" s="34"/>
      <c r="Q468" s="34" t="s">
        <v>1522</v>
      </c>
      <c r="R468" s="29"/>
    </row>
    <row r="469" spans="1:18" ht="17.25" customHeight="1">
      <c r="A469" s="44" t="s">
        <v>449</v>
      </c>
      <c r="B469" s="23" t="str" cm="1">
        <f t="array" ref="B469">_xlfn.TEXTJOIN(", ", TRUE(), _xlfn._xlws.FILTER(Spkrs_Rcrdngs[Speaker],Spkrs_Rcrdngs[Recording]=Rcrdngs[[#This Row],[Text]],"[no speaker selected in Speakers_in_Recordings]"))</f>
        <v>Harran18</v>
      </c>
      <c r="C469" s="41" t="str" cm="1">
        <f t="array" ref="C469">_xlfn.TEXTJOIN(", ", TRUE(), _xlfn._xlws.FILTER(Sbcts_Rcrdngs[Subject],Sbcts_Rcrdngs[Recording]=Rcrdngs[[#This Row],[Text]],"[no subject selected in Subjects_in_Recordings]"))</f>
        <v>Tribes, Consent</v>
      </c>
      <c r="D469" s="25">
        <v>45053</v>
      </c>
      <c r="E469" s="26" t="s">
        <v>1523</v>
      </c>
      <c r="F469" s="27" t="s">
        <v>861</v>
      </c>
      <c r="G469" s="27" t="s">
        <v>605</v>
      </c>
      <c r="H469" s="27"/>
      <c r="I469" s="6"/>
      <c r="J469" s="6"/>
      <c r="K469" s="6"/>
      <c r="L469" s="6"/>
      <c r="M469" s="6"/>
      <c r="N469" s="6"/>
      <c r="O469" s="27" t="s">
        <v>862</v>
      </c>
      <c r="P469" s="34"/>
      <c r="Q469" s="34" t="s">
        <v>1524</v>
      </c>
      <c r="R469" s="29"/>
    </row>
    <row r="470" spans="1:18" ht="17.25" customHeight="1">
      <c r="A470" s="44" t="s">
        <v>450</v>
      </c>
      <c r="B470" s="23" t="str" cm="1">
        <f t="array" ref="B470">_xlfn.TEXTJOIN(", ", TRUE(), _xlfn._xlws.FILTER(Spkrs_Rcrdngs[Speaker],Spkrs_Rcrdngs[Recording]=Rcrdngs[[#This Row],[Text]],"[no speaker selected in Speakers_in_Recordings]"))</f>
        <v>Harran18, Harran29</v>
      </c>
      <c r="C470" s="41" t="str" cm="1">
        <f t="array" ref="C470">_xlfn.TEXTJOIN(", ", TRUE(), _xlfn._xlws.FILTER(Sbcts_Rcrdngs[Subject],Sbcts_Rcrdngs[Recording]=Rcrdngs[[#This Row],[Text]],"[no subject selected in Subjects_in_Recordings]"))</f>
        <v>Story</v>
      </c>
      <c r="D470" s="25">
        <v>45053</v>
      </c>
      <c r="E470" s="26" t="s">
        <v>1384</v>
      </c>
      <c r="F470" s="27" t="s">
        <v>861</v>
      </c>
      <c r="G470" s="27" t="s">
        <v>605</v>
      </c>
      <c r="H470" s="27" t="s">
        <v>861</v>
      </c>
      <c r="I470" s="6" t="s">
        <v>604</v>
      </c>
      <c r="J470" s="6" t="s">
        <v>861</v>
      </c>
      <c r="K470" s="6" t="s">
        <v>604</v>
      </c>
      <c r="L470" s="6" t="s">
        <v>861</v>
      </c>
      <c r="M470" s="6"/>
      <c r="N470" s="6"/>
      <c r="O470" s="27" t="s">
        <v>862</v>
      </c>
      <c r="P470" s="34"/>
      <c r="Q470" s="34" t="s">
        <v>1525</v>
      </c>
      <c r="R470" s="29"/>
    </row>
    <row r="471" spans="1:18" ht="17.25" customHeight="1">
      <c r="A471" s="44" t="s">
        <v>451</v>
      </c>
      <c r="B471" s="23" t="str" cm="1">
        <f t="array" ref="B471">_xlfn.TEXTJOIN(", ", TRUE(), _xlfn._xlws.FILTER(Spkrs_Rcrdngs[Speaker],Spkrs_Rcrdngs[Recording]=Rcrdngs[[#This Row],[Text]],"[no speaker selected in Speakers_in_Recordings]"))</f>
        <v>Harran18</v>
      </c>
      <c r="C471" s="41" t="str" cm="1">
        <f t="array" ref="C471">_xlfn.TEXTJOIN(", ", TRUE(), _xlfn._xlws.FILTER(Sbcts_Rcrdngs[Subject],Sbcts_Rcrdngs[Recording]=Rcrdngs[[#This Row],[Text]],"[no subject selected in Subjects_in_Recordings]"))</f>
        <v>Conversation</v>
      </c>
      <c r="D471" s="25">
        <v>45053</v>
      </c>
      <c r="E471" s="26" t="s">
        <v>1526</v>
      </c>
      <c r="F471" s="27" t="s">
        <v>861</v>
      </c>
      <c r="G471" s="27" t="s">
        <v>605</v>
      </c>
      <c r="H471" s="27"/>
      <c r="I471" s="6"/>
      <c r="J471" s="6"/>
      <c r="K471" s="6"/>
      <c r="L471" s="6"/>
      <c r="M471" s="6"/>
      <c r="N471" s="6"/>
      <c r="O471" s="27" t="s">
        <v>862</v>
      </c>
      <c r="P471" s="34"/>
      <c r="Q471" s="34" t="s">
        <v>1527</v>
      </c>
      <c r="R471" s="29"/>
    </row>
    <row r="472" spans="1:18" ht="17.25" customHeight="1">
      <c r="A472" s="44" t="s">
        <v>452</v>
      </c>
      <c r="B472" s="23" t="str" cm="1">
        <f t="array" ref="B472">_xlfn.TEXTJOIN(", ", TRUE(), _xlfn._xlws.FILTER(Spkrs_Rcrdngs[Speaker],Spkrs_Rcrdngs[Recording]=Rcrdngs[[#This Row],[Text]],"[no speaker selected in Speakers_in_Recordings]"))</f>
        <v>Harran18</v>
      </c>
      <c r="C472" s="41" t="str" cm="1">
        <f t="array" ref="C472">_xlfn.TEXTJOIN(", ", TRUE(), _xlfn._xlws.FILTER(Sbcts_Rcrdngs[Subject],Sbcts_Rcrdngs[Recording]=Rcrdngs[[#This Row],[Text]],"[no subject selected in Subjects_in_Recordings]"))</f>
        <v>Conversation</v>
      </c>
      <c r="D472" s="25">
        <v>45053</v>
      </c>
      <c r="E472" s="26" t="s">
        <v>1110</v>
      </c>
      <c r="F472" s="27" t="s">
        <v>861</v>
      </c>
      <c r="G472" s="27" t="s">
        <v>605</v>
      </c>
      <c r="H472" s="27"/>
      <c r="I472" s="6"/>
      <c r="J472" s="6"/>
      <c r="K472" s="6"/>
      <c r="L472" s="6"/>
      <c r="M472" s="6"/>
      <c r="N472" s="6"/>
      <c r="O472" s="27" t="s">
        <v>862</v>
      </c>
      <c r="P472" s="34"/>
      <c r="Q472" s="34" t="s">
        <v>1528</v>
      </c>
      <c r="R472" s="29"/>
    </row>
    <row r="473" spans="1:18" ht="17.25" customHeight="1">
      <c r="A473" s="44" t="s">
        <v>453</v>
      </c>
      <c r="B473" s="23" t="str" cm="1">
        <f t="array" ref="B473">_xlfn.TEXTJOIN(", ", TRUE(), _xlfn._xlws.FILTER(Spkrs_Rcrdngs[Speaker],Spkrs_Rcrdngs[Recording]=Rcrdngs[[#This Row],[Text]],"[no speaker selected in Speakers_in_Recordings]"))</f>
        <v>Harran18</v>
      </c>
      <c r="C473" s="41" t="str" cm="1">
        <f t="array" ref="C473">_xlfn.TEXTJOIN(", ", TRUE(), _xlfn._xlws.FILTER(Sbcts_Rcrdngs[Subject],Sbcts_Rcrdngs[Recording]=Rcrdngs[[#This Row],[Text]],"[no subject selected in Subjects_in_Recordings]"))</f>
        <v>Conversation</v>
      </c>
      <c r="D473" s="25">
        <v>45053</v>
      </c>
      <c r="E473" s="26" t="s">
        <v>781</v>
      </c>
      <c r="F473" s="27" t="s">
        <v>861</v>
      </c>
      <c r="G473" s="27" t="s">
        <v>605</v>
      </c>
      <c r="H473" s="27"/>
      <c r="I473" s="6"/>
      <c r="J473" s="6"/>
      <c r="K473" s="6"/>
      <c r="L473" s="6"/>
      <c r="M473" s="6"/>
      <c r="N473" s="6"/>
      <c r="O473" s="27" t="s">
        <v>862</v>
      </c>
      <c r="P473" s="34"/>
      <c r="Q473" s="34" t="s">
        <v>1529</v>
      </c>
      <c r="R473" s="29"/>
    </row>
    <row r="474" spans="1:18" ht="17.25" customHeight="1">
      <c r="A474" s="44" t="s">
        <v>454</v>
      </c>
      <c r="B474" s="23" t="str" cm="1">
        <f t="array" ref="B474">_xlfn.TEXTJOIN(", ", TRUE(), _xlfn._xlws.FILTER(Spkrs_Rcrdngs[Speaker],Spkrs_Rcrdngs[Recording]=Rcrdngs[[#This Row],[Text]],"[no speaker selected in Speakers_in_Recordings]"))</f>
        <v>Harran18</v>
      </c>
      <c r="C474" s="41" t="str" cm="1">
        <f t="array" ref="C474">_xlfn.TEXTJOIN(", ", TRUE(), _xlfn._xlws.FILTER(Sbcts_Rcrdngs[Subject],Sbcts_Rcrdngs[Recording]=Rcrdngs[[#This Row],[Text]],"[no subject selected in Subjects_in_Recordings]"))</f>
        <v>Conversation</v>
      </c>
      <c r="D474" s="25">
        <v>45053</v>
      </c>
      <c r="E474" s="26" t="s">
        <v>1530</v>
      </c>
      <c r="F474" s="27" t="s">
        <v>861</v>
      </c>
      <c r="G474" s="27" t="s">
        <v>605</v>
      </c>
      <c r="H474" s="27"/>
      <c r="I474" s="6"/>
      <c r="J474" s="6"/>
      <c r="K474" s="6"/>
      <c r="L474" s="6"/>
      <c r="M474" s="6"/>
      <c r="N474" s="6"/>
      <c r="O474" s="27" t="s">
        <v>862</v>
      </c>
      <c r="P474" s="34"/>
      <c r="Q474" s="34" t="s">
        <v>1531</v>
      </c>
      <c r="R474" s="29"/>
    </row>
    <row r="475" spans="1:18" ht="17.25" customHeight="1">
      <c r="A475" s="44" t="s">
        <v>455</v>
      </c>
      <c r="B475" s="23" t="str" cm="1">
        <f t="array" ref="B475">_xlfn.TEXTJOIN(", ", TRUE(), _xlfn._xlws.FILTER(Spkrs_Rcrdngs[Speaker],Spkrs_Rcrdngs[Recording]=Rcrdngs[[#This Row],[Text]],"[no speaker selected in Speakers_in_Recordings]"))</f>
        <v>Harran02</v>
      </c>
      <c r="C475" s="41" t="str" cm="1">
        <f t="array" ref="C475">_xlfn.TEXTJOIN(", ", TRUE(), _xlfn._xlws.FILTER(Sbcts_Rcrdngs[Subject],Sbcts_Rcrdngs[Recording]=Rcrdngs[[#This Row],[Text]],"[no subject selected in Subjects_in_Recordings]"))</f>
        <v>Gayyat</v>
      </c>
      <c r="D475" s="25">
        <v>45055</v>
      </c>
      <c r="E475" s="26" t="s">
        <v>1532</v>
      </c>
      <c r="F475" s="27" t="s">
        <v>861</v>
      </c>
      <c r="G475" s="27" t="s">
        <v>605</v>
      </c>
      <c r="H475" s="27"/>
      <c r="I475" s="6"/>
      <c r="J475" s="6"/>
      <c r="K475" s="6"/>
      <c r="L475" s="6"/>
      <c r="M475" s="6"/>
      <c r="N475" s="6"/>
      <c r="O475" s="27" t="s">
        <v>862</v>
      </c>
      <c r="P475" s="34"/>
      <c r="Q475" s="34" t="s">
        <v>1533</v>
      </c>
      <c r="R475" s="29"/>
    </row>
    <row r="476" spans="1:18" ht="17.25" customHeight="1">
      <c r="A476" s="44" t="s">
        <v>456</v>
      </c>
      <c r="B476" s="23" t="str" cm="1">
        <f t="array" ref="B476">_xlfn.TEXTJOIN(", ", TRUE(), _xlfn._xlws.FILTER(Spkrs_Rcrdngs[Speaker],Spkrs_Rcrdngs[Recording]=Rcrdngs[[#This Row],[Text]],"[no speaker selected in Speakers_in_Recordings]"))</f>
        <v>Harran03</v>
      </c>
      <c r="C476" s="41" t="str" cm="1">
        <f t="array" ref="C476">_xlfn.TEXTJOIN(", ", TRUE(), _xlfn._xlws.FILTER(Sbcts_Rcrdngs[Subject],Sbcts_Rcrdngs[Recording]=Rcrdngs[[#This Row],[Text]],"[no subject selected in Subjects_in_Recordings]"))</f>
        <v>Grandfather, Women</v>
      </c>
      <c r="D476" s="25">
        <v>45055</v>
      </c>
      <c r="E476" s="26" t="s">
        <v>1534</v>
      </c>
      <c r="F476" s="27" t="s">
        <v>861</v>
      </c>
      <c r="G476" s="27" t="s">
        <v>605</v>
      </c>
      <c r="H476" s="27"/>
      <c r="I476" s="6"/>
      <c r="J476" s="6"/>
      <c r="K476" s="6"/>
      <c r="L476" s="6"/>
      <c r="M476" s="6"/>
      <c r="N476" s="6"/>
      <c r="O476" s="27" t="s">
        <v>862</v>
      </c>
      <c r="P476" s="34"/>
      <c r="Q476" s="34" t="s">
        <v>1535</v>
      </c>
      <c r="R476" s="29"/>
    </row>
    <row r="477" spans="1:18" ht="17.25" customHeight="1">
      <c r="A477" s="44" t="s">
        <v>457</v>
      </c>
      <c r="B477" s="23" t="str" cm="1">
        <f t="array" ref="B477">_xlfn.TEXTJOIN(", ", TRUE(), _xlfn._xlws.FILTER(Spkrs_Rcrdngs[Speaker],Spkrs_Rcrdngs[Recording]=Rcrdngs[[#This Row],[Text]],"[no speaker selected in Speakers_in_Recordings]"))</f>
        <v>Harran03</v>
      </c>
      <c r="C477" s="41" t="str" cm="1">
        <f t="array" ref="C477">_xlfn.TEXTJOIN(", ", TRUE(), _xlfn._xlws.FILTER(Sbcts_Rcrdngs[Subject],Sbcts_Rcrdngs[Recording]=Rcrdngs[[#This Row],[Text]],"[no subject selected in Subjects_in_Recordings]"))</f>
        <v>Malfuf Recipe</v>
      </c>
      <c r="D477" s="25">
        <v>45056</v>
      </c>
      <c r="E477" s="26" t="s">
        <v>1536</v>
      </c>
      <c r="F477" s="27" t="s">
        <v>861</v>
      </c>
      <c r="G477" s="27" t="s">
        <v>605</v>
      </c>
      <c r="H477" s="27"/>
      <c r="I477" s="6"/>
      <c r="J477" s="6"/>
      <c r="K477" s="6"/>
      <c r="L477" s="6"/>
      <c r="M477" s="6"/>
      <c r="N477" s="6"/>
      <c r="O477" s="27" t="s">
        <v>862</v>
      </c>
      <c r="P477" s="34"/>
      <c r="Q477" s="34" t="s">
        <v>1537</v>
      </c>
      <c r="R477" s="29"/>
    </row>
    <row r="478" spans="1:18" ht="17.25" customHeight="1">
      <c r="A478" s="44" t="s">
        <v>458</v>
      </c>
      <c r="B478" s="23" t="str" cm="1">
        <f t="array" ref="B478">_xlfn.TEXTJOIN(", ", TRUE(), _xlfn._xlws.FILTER(Spkrs_Rcrdngs[Speaker],Spkrs_Rcrdngs[Recording]=Rcrdngs[[#This Row],[Text]],"[no speaker selected in Speakers_in_Recordings]"))</f>
        <v>Harran03</v>
      </c>
      <c r="C478" s="41" t="str" cm="1">
        <f t="array" ref="C478">_xlfn.TEXTJOIN(", ", TRUE(), _xlfn._xlws.FILTER(Sbcts_Rcrdngs[Subject],Sbcts_Rcrdngs[Recording]=Rcrdngs[[#This Row],[Text]],"[no subject selected in Subjects_in_Recordings]"))</f>
        <v>Music</v>
      </c>
      <c r="D478" s="25">
        <v>45056</v>
      </c>
      <c r="E478" s="26" t="s">
        <v>1318</v>
      </c>
      <c r="F478" s="27" t="s">
        <v>861</v>
      </c>
      <c r="G478" s="27" t="s">
        <v>605</v>
      </c>
      <c r="H478" s="27"/>
      <c r="I478" s="6"/>
      <c r="J478" s="6"/>
      <c r="K478" s="6"/>
      <c r="L478" s="6"/>
      <c r="M478" s="6"/>
      <c r="N478" s="6"/>
      <c r="O478" s="27" t="s">
        <v>862</v>
      </c>
      <c r="P478" s="34"/>
      <c r="Q478" s="34" t="s">
        <v>1538</v>
      </c>
      <c r="R478" s="29"/>
    </row>
    <row r="479" spans="1:18" ht="17.25" customHeight="1">
      <c r="A479" s="44" t="s">
        <v>459</v>
      </c>
      <c r="B479" s="23" t="str" cm="1">
        <f t="array" ref="B479">_xlfn.TEXTJOIN(", ", TRUE(), _xlfn._xlws.FILTER(Spkrs_Rcrdngs[Speaker],Spkrs_Rcrdngs[Recording]=Rcrdngs[[#This Row],[Text]],"[no speaker selected in Speakers_in_Recordings]"))</f>
        <v>Harran02, Harran03, Harran04</v>
      </c>
      <c r="C479" s="41" t="str" cm="1">
        <f t="array" ref="C479">_xlfn.TEXTJOIN(", ", TRUE(), _xlfn._xlws.FILTER(Sbcts_Rcrdngs[Subject],Sbcts_Rcrdngs[Recording]=Rcrdngs[[#This Row],[Text]],"[no subject selected in Subjects_in_Recordings]"))</f>
        <v>A Man's Story</v>
      </c>
      <c r="D479" s="25">
        <v>45062</v>
      </c>
      <c r="E479" s="26" t="s">
        <v>1539</v>
      </c>
      <c r="F479" s="27" t="s">
        <v>1202</v>
      </c>
      <c r="G479" s="27" t="s">
        <v>605</v>
      </c>
      <c r="H479" s="27"/>
      <c r="I479" s="6"/>
      <c r="J479" s="6"/>
      <c r="K479" s="6"/>
      <c r="L479" s="6"/>
      <c r="M479" s="6"/>
      <c r="N479" s="6"/>
      <c r="O479" s="27" t="s">
        <v>862</v>
      </c>
      <c r="P479" s="34"/>
      <c r="Q479" s="34" t="s">
        <v>1540</v>
      </c>
      <c r="R479" s="29"/>
    </row>
    <row r="480" spans="1:18" ht="17.25" customHeight="1">
      <c r="A480" s="44" t="s">
        <v>460</v>
      </c>
      <c r="B480" s="23" t="str" cm="1">
        <f t="array" ref="B480">_xlfn.TEXTJOIN(", ", TRUE(), _xlfn._xlws.FILTER(Spkrs_Rcrdngs[Speaker],Spkrs_Rcrdngs[Recording]=Rcrdngs[[#This Row],[Text]],"[no speaker selected in Speakers_in_Recordings]"))</f>
        <v>Harran02, Harran04</v>
      </c>
      <c r="C480" s="41" t="str" cm="1">
        <f t="array" ref="C480">_xlfn.TEXTJOIN(", ", TRUE(), _xlfn._xlws.FILTER(Sbcts_Rcrdngs[Subject],Sbcts_Rcrdngs[Recording]=Rcrdngs[[#This Row],[Text]],"[no subject selected in Subjects_in_Recordings]"))</f>
        <v>Morals</v>
      </c>
      <c r="D480" s="25">
        <v>45092</v>
      </c>
      <c r="E480" s="26" t="s">
        <v>1541</v>
      </c>
      <c r="F480" s="27" t="s">
        <v>1202</v>
      </c>
      <c r="G480" s="27" t="s">
        <v>605</v>
      </c>
      <c r="H480" s="27"/>
      <c r="I480" s="6"/>
      <c r="J480" s="6"/>
      <c r="K480" s="6"/>
      <c r="L480" s="6"/>
      <c r="M480" s="6"/>
      <c r="N480" s="6"/>
      <c r="O480" s="27" t="s">
        <v>862</v>
      </c>
      <c r="P480" s="34"/>
      <c r="Q480" s="34" t="s">
        <v>1542</v>
      </c>
      <c r="R480" s="29"/>
    </row>
    <row r="481" spans="1:18" ht="17.25" customHeight="1">
      <c r="A481" s="44" t="s">
        <v>461</v>
      </c>
      <c r="B481" s="23" t="str" cm="1">
        <f t="array" ref="B481">_xlfn.TEXTJOIN(", ", TRUE(), _xlfn._xlws.FILTER(Spkrs_Rcrdngs[Speaker],Spkrs_Rcrdngs[Recording]=Rcrdngs[[#This Row],[Text]],"[no speaker selected in Speakers_in_Recordings]"))</f>
        <v>Harran02, Harran04</v>
      </c>
      <c r="C481" s="41" t="str" cm="1">
        <f t="array" ref="C481">_xlfn.TEXTJOIN(", ", TRUE(), _xlfn._xlws.FILTER(Sbcts_Rcrdngs[Subject],Sbcts_Rcrdngs[Recording]=Rcrdngs[[#This Row],[Text]],"[no subject selected in Subjects_in_Recordings]"))</f>
        <v>Water, Dancing, Tribes, Former Times</v>
      </c>
      <c r="D481" s="25">
        <v>45092</v>
      </c>
      <c r="E481" s="26" t="s">
        <v>1543</v>
      </c>
      <c r="F481" s="27" t="s">
        <v>1202</v>
      </c>
      <c r="G481" s="27" t="s">
        <v>605</v>
      </c>
      <c r="H481" s="27"/>
      <c r="I481" s="6"/>
      <c r="J481" s="6"/>
      <c r="K481" s="6"/>
      <c r="L481" s="6"/>
      <c r="M481" s="6"/>
      <c r="N481" s="6"/>
      <c r="O481" s="27" t="s">
        <v>862</v>
      </c>
      <c r="P481" s="34"/>
      <c r="Q481" s="34" t="s">
        <v>1544</v>
      </c>
      <c r="R481" s="29"/>
    </row>
    <row r="482" spans="1:18" ht="17.25" customHeight="1">
      <c r="A482" s="44" t="s">
        <v>462</v>
      </c>
      <c r="B482" s="23" t="str" cm="1">
        <f t="array" ref="B482">_xlfn.TEXTJOIN(", ", TRUE(), _xlfn._xlws.FILTER(Spkrs_Rcrdngs[Speaker],Spkrs_Rcrdngs[Recording]=Rcrdngs[[#This Row],[Text]],"[no speaker selected in Speakers_in_Recordings]"))</f>
        <v>Harran04</v>
      </c>
      <c r="C482" s="41" t="str" cm="1">
        <f t="array" ref="C482">_xlfn.TEXTJOIN(", ", TRUE(), _xlfn._xlws.FILTER(Sbcts_Rcrdngs[Subject],Sbcts_Rcrdngs[Recording]=Rcrdngs[[#This Row],[Text]],"[no subject selected in Subjects_in_Recordings]"))</f>
        <v>Short</v>
      </c>
      <c r="D482" s="25">
        <v>45093</v>
      </c>
      <c r="E482" s="26" t="s">
        <v>966</v>
      </c>
      <c r="F482" s="27" t="s">
        <v>1202</v>
      </c>
      <c r="G482" s="27" t="s">
        <v>605</v>
      </c>
      <c r="H482" s="27"/>
      <c r="I482" s="6"/>
      <c r="J482" s="6"/>
      <c r="K482" s="6"/>
      <c r="L482" s="6"/>
      <c r="M482" s="6"/>
      <c r="N482" s="6"/>
      <c r="O482" s="27" t="s">
        <v>862</v>
      </c>
      <c r="P482" s="34"/>
      <c r="Q482" s="34" t="s">
        <v>1545</v>
      </c>
      <c r="R482" s="29"/>
    </row>
    <row r="483" spans="1:18" ht="17.25" customHeight="1">
      <c r="A483" s="44" t="s">
        <v>463</v>
      </c>
      <c r="B483" s="23" t="str" cm="1">
        <f t="array" ref="B483">_xlfn.TEXTJOIN(", ", TRUE(), _xlfn._xlws.FILTER(Spkrs_Rcrdngs[Speaker],Spkrs_Rcrdngs[Recording]=Rcrdngs[[#This Row],[Text]],"[no speaker selected in Speakers_in_Recordings]"))</f>
        <v>Harran04</v>
      </c>
      <c r="C483" s="41" t="str" cm="1">
        <f t="array" ref="C483">_xlfn.TEXTJOIN(", ", TRUE(), _xlfn._xlws.FILTER(Sbcts_Rcrdngs[Subject],Sbcts_Rcrdngs[Recording]=Rcrdngs[[#This Row],[Text]],"[no subject selected in Subjects_in_Recordings]"))</f>
        <v>A Man's Story</v>
      </c>
      <c r="D483" s="25">
        <v>45108</v>
      </c>
      <c r="E483" s="26" t="s">
        <v>1546</v>
      </c>
      <c r="F483" s="27" t="s">
        <v>1202</v>
      </c>
      <c r="G483" s="27" t="s">
        <v>605</v>
      </c>
      <c r="H483" s="27"/>
      <c r="I483" s="6"/>
      <c r="J483" s="6"/>
      <c r="K483" s="6"/>
      <c r="L483" s="6"/>
      <c r="M483" s="6"/>
      <c r="N483" s="6"/>
      <c r="O483" s="27" t="s">
        <v>862</v>
      </c>
      <c r="P483" s="34"/>
      <c r="Q483" s="34" t="s">
        <v>1547</v>
      </c>
      <c r="R483" s="29"/>
    </row>
    <row r="484" spans="1:18" ht="17.25" customHeight="1">
      <c r="A484" s="44" t="s">
        <v>464</v>
      </c>
      <c r="B484" s="23" t="str" cm="1">
        <f t="array" ref="B484">_xlfn.TEXTJOIN(", ", TRUE(), _xlfn._xlws.FILTER(Spkrs_Rcrdngs[Speaker],Spkrs_Rcrdngs[Recording]=Rcrdngs[[#This Row],[Text]],"[no speaker selected in Speakers_in_Recordings]"))</f>
        <v>Harran19</v>
      </c>
      <c r="C484" s="41" t="str" cm="1">
        <f t="array" ref="C484">_xlfn.TEXTJOIN(", ", TRUE(), _xlfn._xlws.FILTER(Sbcts_Rcrdngs[Subject],Sbcts_Rcrdngs[Recording]=Rcrdngs[[#This Row],[Text]],"[no subject selected in Subjects_in_Recordings]"))</f>
        <v>A Bedouin</v>
      </c>
      <c r="D484" s="25">
        <v>45133</v>
      </c>
      <c r="E484" s="26" t="s">
        <v>1548</v>
      </c>
      <c r="F484" s="27" t="s">
        <v>1202</v>
      </c>
      <c r="G484" s="27" t="s">
        <v>605</v>
      </c>
      <c r="H484" s="27"/>
      <c r="I484" s="6"/>
      <c r="J484" s="6"/>
      <c r="K484" s="6"/>
      <c r="L484" s="6"/>
      <c r="M484" s="6"/>
      <c r="N484" s="6"/>
      <c r="O484" s="27" t="s">
        <v>862</v>
      </c>
      <c r="P484" s="34"/>
      <c r="Q484" s="34" t="s">
        <v>1549</v>
      </c>
      <c r="R484" s="29"/>
    </row>
    <row r="485" spans="1:18" ht="17.25" customHeight="1">
      <c r="A485" s="44" t="s">
        <v>465</v>
      </c>
      <c r="B485" s="23" t="str" cm="1">
        <f t="array" ref="B485">_xlfn.TEXTJOIN(", ", TRUE(), _xlfn._xlws.FILTER(Spkrs_Rcrdngs[Speaker],Spkrs_Rcrdngs[Recording]=Rcrdngs[[#This Row],[Text]],"[no speaker selected in Speakers_in_Recordings]"))</f>
        <v>Harran02, Harran04</v>
      </c>
      <c r="C485" s="24" t="str" cm="1">
        <f t="array" ref="C485">_xlfn.TEXTJOIN(", ", TRUE(), _xlfn._xlws.FILTER(Sbcts_Rcrdngs[Subject],Sbcts_Rcrdngs[Recording]=Rcrdngs[[#This Row],[Text]],"[no subject selected in Subjects_in_Recordings]"))</f>
        <v>Proud Woman</v>
      </c>
      <c r="D485" s="25">
        <v>45171</v>
      </c>
      <c r="E485" s="26" t="s">
        <v>1550</v>
      </c>
      <c r="F485" s="27" t="s">
        <v>1202</v>
      </c>
      <c r="G485" s="27" t="s">
        <v>605</v>
      </c>
      <c r="H485" s="27"/>
      <c r="I485" s="6"/>
      <c r="J485" s="6"/>
      <c r="K485" s="6"/>
      <c r="L485" s="6"/>
      <c r="M485" s="6"/>
      <c r="N485" s="6"/>
      <c r="O485" s="27" t="s">
        <v>862</v>
      </c>
      <c r="P485" s="34"/>
      <c r="Q485" s="28" t="s">
        <v>1551</v>
      </c>
      <c r="R485" s="29"/>
    </row>
    <row r="486" spans="1:18" ht="17.25" customHeight="1">
      <c r="A486" s="44" t="s">
        <v>466</v>
      </c>
      <c r="B486" s="23" t="str" cm="1">
        <f t="array" ref="B486">_xlfn.TEXTJOIN(", ", TRUE(), _xlfn._xlws.FILTER(Spkrs_Rcrdngs[Speaker],Spkrs_Rcrdngs[Recording]=Rcrdngs[[#This Row],[Text]],"[no speaker selected in Speakers_in_Recordings]"))</f>
        <v>Harran02, Harran06</v>
      </c>
      <c r="C486" s="41" t="str" cm="1">
        <f t="array" ref="C486">_xlfn.TEXTJOIN(", ", TRUE(), _xlfn._xlws.FILTER(Sbcts_Rcrdngs[Subject],Sbcts_Rcrdngs[Recording]=Rcrdngs[[#This Row],[Text]],"[no subject selected in Subjects_in_Recordings]"))</f>
        <v>A Woman</v>
      </c>
      <c r="D486" s="25">
        <v>45195</v>
      </c>
      <c r="E486" s="26" t="s">
        <v>1552</v>
      </c>
      <c r="F486" s="27" t="s">
        <v>1202</v>
      </c>
      <c r="G486" s="27" t="s">
        <v>605</v>
      </c>
      <c r="H486" s="27"/>
      <c r="I486" s="6"/>
      <c r="J486" s="6"/>
      <c r="K486" s="6"/>
      <c r="L486" s="6"/>
      <c r="M486" s="6"/>
      <c r="N486" s="6"/>
      <c r="O486" s="27" t="s">
        <v>862</v>
      </c>
      <c r="P486" s="34"/>
      <c r="Q486" s="34" t="s">
        <v>1553</v>
      </c>
      <c r="R486" s="29"/>
    </row>
    <row r="487" spans="1:18" ht="17.25" customHeight="1">
      <c r="A487" s="44" t="s">
        <v>467</v>
      </c>
      <c r="B487" s="23" t="str" cm="1">
        <f t="array" ref="B487">_xlfn.TEXTJOIN(", ", TRUE(), _xlfn._xlws.FILTER(Spkrs_Rcrdngs[Speaker],Spkrs_Rcrdngs[Recording]=Rcrdngs[[#This Row],[Text]],"[no speaker selected in Speakers_in_Recordings]"))</f>
        <v>Harran06</v>
      </c>
      <c r="C487" s="41" t="str" cm="1">
        <f t="array" ref="C487">_xlfn.TEXTJOIN(", ", TRUE(), _xlfn._xlws.FILTER(Sbcts_Rcrdngs[Subject],Sbcts_Rcrdngs[Recording]=Rcrdngs[[#This Row],[Text]],"[no subject selected in Subjects_in_Recordings]"))</f>
        <v>Fishing</v>
      </c>
      <c r="D487" s="25">
        <v>45195</v>
      </c>
      <c r="E487" s="26" t="s">
        <v>1034</v>
      </c>
      <c r="F487" s="27" t="s">
        <v>1202</v>
      </c>
      <c r="G487" s="27" t="s">
        <v>605</v>
      </c>
      <c r="H487" s="27"/>
      <c r="I487" s="6"/>
      <c r="J487" s="6"/>
      <c r="K487" s="6"/>
      <c r="L487" s="6"/>
      <c r="M487" s="6"/>
      <c r="N487" s="6"/>
      <c r="O487" s="27" t="s">
        <v>862</v>
      </c>
      <c r="P487" s="34"/>
      <c r="Q487" s="34" t="s">
        <v>1554</v>
      </c>
      <c r="R487" s="29"/>
    </row>
    <row r="488" spans="1:18" ht="17.25" customHeight="1">
      <c r="A488" s="44" t="s">
        <v>468</v>
      </c>
      <c r="B488" s="23" t="str" cm="1">
        <f t="array" ref="B488">_xlfn.TEXTJOIN(", ", TRUE(), _xlfn._xlws.FILTER(Spkrs_Rcrdngs[Speaker],Spkrs_Rcrdngs[Recording]=Rcrdngs[[#This Row],[Text]],"[no speaker selected in Speakers_in_Recordings]"))</f>
        <v>Harran02, Syria14</v>
      </c>
      <c r="C488" s="24" t="str" cm="1">
        <f t="array" ref="C488">_xlfn.TEXTJOIN(", ", TRUE(), _xlfn._xlws.FILTER(Sbcts_Rcrdngs[Subject],Sbcts_Rcrdngs[Recording]=Rcrdngs[[#This Row],[Text]],"[no subject selected in Subjects_in_Recordings]"))</f>
        <v>Antara Bin Shaddad</v>
      </c>
      <c r="D488" s="25">
        <v>45211</v>
      </c>
      <c r="E488" s="26" t="s">
        <v>1555</v>
      </c>
      <c r="F488" s="27" t="s">
        <v>1202</v>
      </c>
      <c r="G488" s="27" t="s">
        <v>605</v>
      </c>
      <c r="H488" s="27"/>
      <c r="I488" s="6"/>
      <c r="J488" s="6"/>
      <c r="K488" s="6"/>
      <c r="L488" s="6"/>
      <c r="M488" s="6"/>
      <c r="N488" s="6"/>
      <c r="O488" s="27" t="s">
        <v>862</v>
      </c>
      <c r="P488" s="34"/>
      <c r="Q488" s="28" t="s">
        <v>1556</v>
      </c>
      <c r="R488" s="29"/>
    </row>
    <row r="489" spans="1:18" ht="17.25" customHeight="1">
      <c r="A489" s="44" t="s">
        <v>469</v>
      </c>
      <c r="B489" s="23" t="str" cm="1">
        <f t="array" ref="B489">_xlfn.TEXTJOIN(", ", TRUE(), _xlfn._xlws.FILTER(Spkrs_Rcrdngs[Speaker],Spkrs_Rcrdngs[Recording]=Rcrdngs[[#This Row],[Text]],"[no speaker selected in Speakers_in_Recordings]"))</f>
        <v>Harran02, Syria14</v>
      </c>
      <c r="C489" s="41" t="str" cm="1">
        <f t="array" ref="C489">_xlfn.TEXTJOIN(", ", TRUE(), _xlfn._xlws.FILTER(Sbcts_Rcrdngs[Subject],Sbcts_Rcrdngs[Recording]=Rcrdngs[[#This Row],[Text]],"[no subject selected in Subjects_in_Recordings]"))</f>
        <v>Salim az-Zir, Escaping from Syria, Tribes</v>
      </c>
      <c r="D489" s="25">
        <v>45211</v>
      </c>
      <c r="E489" s="26" t="s">
        <v>1557</v>
      </c>
      <c r="F489" s="27" t="s">
        <v>1202</v>
      </c>
      <c r="G489" s="27" t="s">
        <v>605</v>
      </c>
      <c r="H489" s="27"/>
      <c r="I489" s="6"/>
      <c r="J489" s="6"/>
      <c r="K489" s="6"/>
      <c r="L489" s="6"/>
      <c r="M489" s="6"/>
      <c r="N489" s="6"/>
      <c r="O489" s="27" t="s">
        <v>862</v>
      </c>
      <c r="P489" s="34"/>
      <c r="Q489" s="34" t="s">
        <v>1558</v>
      </c>
      <c r="R489" s="29"/>
    </row>
    <row r="490" spans="1:18" ht="17.25" customHeight="1">
      <c r="A490" s="44" t="s">
        <v>470</v>
      </c>
      <c r="B490" s="23" t="str" cm="1">
        <f t="array" ref="B490">_xlfn.TEXTJOIN(", ", TRUE(), _xlfn._xlws.FILTER(Spkrs_Rcrdngs[Speaker],Spkrs_Rcrdngs[Recording]=Rcrdngs[[#This Row],[Text]],"[no speaker selected in Speakers_in_Recordings]"))</f>
        <v>Harran02, Syria14</v>
      </c>
      <c r="C490" s="41" t="str" cm="1">
        <f t="array" ref="C490">_xlfn.TEXTJOIN(", ", TRUE(), _xlfn._xlws.FILTER(Sbcts_Rcrdngs[Subject],Sbcts_Rcrdngs[Recording]=Rcrdngs[[#This Row],[Text]],"[no subject selected in Subjects_in_Recordings]"))</f>
        <v>Tribes, Stories, Jews</v>
      </c>
      <c r="D490" s="25">
        <v>45212</v>
      </c>
      <c r="E490" s="26" t="s">
        <v>1559</v>
      </c>
      <c r="F490" s="27" t="s">
        <v>1202</v>
      </c>
      <c r="G490" s="27" t="s">
        <v>605</v>
      </c>
      <c r="H490" s="27"/>
      <c r="I490" s="6"/>
      <c r="J490" s="6"/>
      <c r="K490" s="6"/>
      <c r="L490" s="6"/>
      <c r="M490" s="6"/>
      <c r="N490" s="6"/>
      <c r="O490" s="27" t="s">
        <v>862</v>
      </c>
      <c r="P490" s="34"/>
      <c r="Q490" s="34" t="s">
        <v>1560</v>
      </c>
      <c r="R490" s="29"/>
    </row>
    <row r="491" spans="1:18" ht="17.25" customHeight="1">
      <c r="A491" s="44" t="s">
        <v>471</v>
      </c>
      <c r="B491" s="23" t="str" cm="1">
        <f t="array" ref="B491">_xlfn.TEXTJOIN(", ", TRUE(), _xlfn._xlws.FILTER(Spkrs_Rcrdngs[Speaker],Spkrs_Rcrdngs[Recording]=Rcrdngs[[#This Row],[Text]],"[no speaker selected in Speakers_in_Recordings]"))</f>
        <v>Harran02, Harran04</v>
      </c>
      <c r="C491" s="41" t="str" cm="1">
        <f t="array" ref="C491">_xlfn.TEXTJOIN(", ", TRUE(), _xlfn._xlws.FILTER(Sbcts_Rcrdngs[Subject],Sbcts_Rcrdngs[Recording]=Rcrdngs[[#This Row],[Text]],"[no subject selected in Subjects_in_Recordings]"))</f>
        <v xml:space="preserve">Different Stories </v>
      </c>
      <c r="D491" s="25">
        <v>45257</v>
      </c>
      <c r="E491" s="26" t="s">
        <v>1561</v>
      </c>
      <c r="F491" s="27" t="s">
        <v>1202</v>
      </c>
      <c r="G491" s="27" t="s">
        <v>605</v>
      </c>
      <c r="H491" s="27"/>
      <c r="I491" s="6"/>
      <c r="J491" s="6"/>
      <c r="K491" s="6"/>
      <c r="L491" s="6"/>
      <c r="M491" s="6"/>
      <c r="N491" s="6"/>
      <c r="O491" s="27" t="s">
        <v>862</v>
      </c>
      <c r="P491" s="34"/>
      <c r="Q491" s="34" t="s">
        <v>1562</v>
      </c>
      <c r="R491" s="29"/>
    </row>
    <row r="492" spans="1:18" ht="17.25" customHeight="1">
      <c r="A492" s="44" t="s">
        <v>472</v>
      </c>
      <c r="B492" s="23" t="str" cm="1">
        <f t="array" ref="B492">_xlfn.TEXTJOIN(", ", TRUE(), _xlfn._xlws.FILTER(Spkrs_Rcrdngs[Speaker],Spkrs_Rcrdngs[Recording]=Rcrdngs[[#This Row],[Text]],"[no speaker selected in Speakers_in_Recordings]"))</f>
        <v>Harran02, Harran04</v>
      </c>
      <c r="C492" s="41" t="str" cm="1">
        <f t="array" ref="C492">_xlfn.TEXTJOIN(", ", TRUE(), _xlfn._xlws.FILTER(Sbcts_Rcrdngs[Subject],Sbcts_Rcrdngs[Recording]=Rcrdngs[[#This Row],[Text]],"[no subject selected in Subjects_in_Recordings]"))</f>
        <v>About a Family</v>
      </c>
      <c r="D492" s="25">
        <v>45263</v>
      </c>
      <c r="E492" s="26" t="s">
        <v>1563</v>
      </c>
      <c r="F492" s="27" t="s">
        <v>1202</v>
      </c>
      <c r="G492" s="27" t="s">
        <v>605</v>
      </c>
      <c r="H492" s="27"/>
      <c r="I492" s="6"/>
      <c r="J492" s="6"/>
      <c r="K492" s="6"/>
      <c r="L492" s="6"/>
      <c r="M492" s="6"/>
      <c r="N492" s="6"/>
      <c r="O492" s="27" t="s">
        <v>862</v>
      </c>
      <c r="P492" s="34"/>
      <c r="Q492" s="34" t="s">
        <v>1564</v>
      </c>
      <c r="R492" s="29"/>
    </row>
    <row r="493" spans="1:18" ht="17.25" customHeight="1">
      <c r="A493" s="44" t="s">
        <v>473</v>
      </c>
      <c r="B493" s="23" t="str" cm="1">
        <f t="array" ref="B493">_xlfn.TEXTJOIN(", ", TRUE(), _xlfn._xlws.FILTER(Spkrs_Rcrdngs[Speaker],Spkrs_Rcrdngs[Recording]=Rcrdngs[[#This Row],[Text]],"[no speaker selected in Speakers_in_Recordings]"))</f>
        <v>Harran02, Harran04</v>
      </c>
      <c r="C493" s="41" t="str" cm="1">
        <f t="array" ref="C493">_xlfn.TEXTJOIN(", ", TRUE(), _xlfn._xlws.FILTER(Sbcts_Rcrdngs[Subject],Sbcts_Rcrdngs[Recording]=Rcrdngs[[#This Row],[Text]],"[no subject selected in Subjects_in_Recordings]"))</f>
        <v>Former Times</v>
      </c>
      <c r="D493" s="25">
        <v>45263</v>
      </c>
      <c r="E493" s="26" t="s">
        <v>916</v>
      </c>
      <c r="F493" s="27" t="s">
        <v>1202</v>
      </c>
      <c r="G493" s="27" t="s">
        <v>605</v>
      </c>
      <c r="H493" s="27"/>
      <c r="I493" s="6"/>
      <c r="J493" s="6"/>
      <c r="K493" s="6"/>
      <c r="L493" s="6"/>
      <c r="M493" s="6"/>
      <c r="N493" s="6"/>
      <c r="O493" s="27" t="s">
        <v>862</v>
      </c>
      <c r="P493" s="34"/>
      <c r="Q493" s="34" t="s">
        <v>1565</v>
      </c>
      <c r="R493" s="29"/>
    </row>
    <row r="494" spans="1:18" ht="17.25" customHeight="1">
      <c r="A494" s="44" t="s">
        <v>474</v>
      </c>
      <c r="B494" s="23" t="str" cm="1">
        <f t="array" ref="B494">_xlfn.TEXTJOIN(", ", TRUE(), _xlfn._xlws.FILTER(Spkrs_Rcrdngs[Speaker],Spkrs_Rcrdngs[Recording]=Rcrdngs[[#This Row],[Text]],"[no speaker selected in Speakers_in_Recordings]"))</f>
        <v>Harran04</v>
      </c>
      <c r="C494" s="41" t="str" cm="1">
        <f t="array" ref="C494">_xlfn.TEXTJOIN(", ", TRUE(), _xlfn._xlws.FILTER(Sbcts_Rcrdngs[Subject],Sbcts_Rcrdngs[Recording]=Rcrdngs[[#This Row],[Text]],"[no subject selected in Subjects_in_Recordings]"))</f>
        <v>Short</v>
      </c>
      <c r="D494" s="25">
        <v>45263</v>
      </c>
      <c r="E494" s="26" t="s">
        <v>691</v>
      </c>
      <c r="F494" s="27" t="s">
        <v>1202</v>
      </c>
      <c r="G494" s="27" t="s">
        <v>605</v>
      </c>
      <c r="H494" s="27"/>
      <c r="I494" s="6"/>
      <c r="J494" s="6"/>
      <c r="K494" s="6"/>
      <c r="L494" s="6"/>
      <c r="M494" s="6"/>
      <c r="N494" s="6"/>
      <c r="O494" s="27" t="s">
        <v>862</v>
      </c>
      <c r="P494" s="34"/>
      <c r="Q494" s="34" t="s">
        <v>1566</v>
      </c>
      <c r="R494" s="29"/>
    </row>
    <row r="495" spans="1:18" ht="17.25" customHeight="1">
      <c r="A495" s="44" t="s">
        <v>475</v>
      </c>
      <c r="B495" s="23" t="str" cm="1">
        <f t="array" ref="B495">_xlfn.TEXTJOIN(", ", TRUE(), _xlfn._xlws.FILTER(Spkrs_Rcrdngs[Speaker],Spkrs_Rcrdngs[Recording]=Rcrdngs[[#This Row],[Text]],"[no speaker selected in Speakers_in_Recordings]"))</f>
        <v>Harran04</v>
      </c>
      <c r="C495" s="24" t="str" cm="1">
        <f t="array" ref="C495">_xlfn.TEXTJOIN(", ", TRUE(), _xlfn._xlws.FILTER(Sbcts_Rcrdngs[Subject],Sbcts_Rcrdngs[Recording]=Rcrdngs[[#This Row],[Text]],"[no subject selected in Subjects_in_Recordings]"))</f>
        <v>A Man, Good Daughter</v>
      </c>
      <c r="D495" s="25">
        <v>45263</v>
      </c>
      <c r="E495" s="26" t="s">
        <v>1530</v>
      </c>
      <c r="F495" s="27" t="s">
        <v>1202</v>
      </c>
      <c r="G495" s="27" t="s">
        <v>605</v>
      </c>
      <c r="H495" s="27"/>
      <c r="I495" s="6"/>
      <c r="J495" s="6"/>
      <c r="K495" s="6"/>
      <c r="L495" s="6"/>
      <c r="M495" s="6"/>
      <c r="N495" s="6"/>
      <c r="O495" s="27" t="s">
        <v>862</v>
      </c>
      <c r="P495" s="34"/>
      <c r="Q495" s="28" t="s">
        <v>1567</v>
      </c>
      <c r="R495" s="29"/>
    </row>
    <row r="496" spans="1:18" ht="17.25" customHeight="1">
      <c r="A496" s="44" t="s">
        <v>476</v>
      </c>
      <c r="B496" s="23" t="str" cm="1">
        <f t="array" ref="B496">_xlfn.TEXTJOIN(", ", TRUE(), _xlfn._xlws.FILTER(Spkrs_Rcrdngs[Speaker],Spkrs_Rcrdngs[Recording]=Rcrdngs[[#This Row],[Text]],"[no speaker selected in Speakers_in_Recordings]"))</f>
        <v>Harran04</v>
      </c>
      <c r="C496" s="41" t="str" cm="1">
        <f t="array" ref="C496">_xlfn.TEXTJOIN(", ", TRUE(), _xlfn._xlws.FILTER(Sbcts_Rcrdngs[Subject],Sbcts_Rcrdngs[Recording]=Rcrdngs[[#This Row],[Text]],"[no subject selected in Subjects_in_Recordings]"))</f>
        <v>Grandchildren, About People</v>
      </c>
      <c r="D496" s="25">
        <v>45263</v>
      </c>
      <c r="E496" s="26" t="s">
        <v>1568</v>
      </c>
      <c r="F496" s="27" t="s">
        <v>1202</v>
      </c>
      <c r="G496" s="27" t="s">
        <v>605</v>
      </c>
      <c r="H496" s="27"/>
      <c r="I496" s="6"/>
      <c r="J496" s="6"/>
      <c r="K496" s="6"/>
      <c r="L496" s="6"/>
      <c r="M496" s="6"/>
      <c r="N496" s="6"/>
      <c r="O496" s="27" t="s">
        <v>862</v>
      </c>
      <c r="P496" s="34"/>
      <c r="Q496" s="34" t="s">
        <v>1569</v>
      </c>
      <c r="R496" s="29"/>
    </row>
    <row r="497" spans="1:18" ht="17.25" customHeight="1">
      <c r="A497" s="44" t="s">
        <v>477</v>
      </c>
      <c r="B497" s="23" t="str" cm="1">
        <f t="array" ref="B497">_xlfn.TEXTJOIN(", ", TRUE(), _xlfn._xlws.FILTER(Spkrs_Rcrdngs[Speaker],Spkrs_Rcrdngs[Recording]=Rcrdngs[[#This Row],[Text]],"[no speaker selected in Speakers_in_Recordings]"))</f>
        <v>Harran04</v>
      </c>
      <c r="C497" s="41" t="str" cm="1">
        <f t="array" ref="C497">_xlfn.TEXTJOIN(", ", TRUE(), _xlfn._xlws.FILTER(Sbcts_Rcrdngs[Subject],Sbcts_Rcrdngs[Recording]=Rcrdngs[[#This Row],[Text]],"[no subject selected in Subjects_in_Recordings]"))</f>
        <v>A Nice Woman</v>
      </c>
      <c r="D497" s="25">
        <v>45263</v>
      </c>
      <c r="E497" s="26" t="s">
        <v>1570</v>
      </c>
      <c r="F497" s="27" t="s">
        <v>1202</v>
      </c>
      <c r="G497" s="27" t="s">
        <v>605</v>
      </c>
      <c r="H497" s="27"/>
      <c r="I497" s="6"/>
      <c r="J497" s="6"/>
      <c r="K497" s="6"/>
      <c r="L497" s="6"/>
      <c r="M497" s="6"/>
      <c r="N497" s="6"/>
      <c r="O497" s="27" t="s">
        <v>862</v>
      </c>
      <c r="P497" s="34"/>
      <c r="Q497" s="34" t="s">
        <v>1571</v>
      </c>
      <c r="R497" s="29"/>
    </row>
    <row r="498" spans="1:18" ht="17.25" customHeight="1">
      <c r="A498" s="44" t="s">
        <v>478</v>
      </c>
      <c r="B498" s="23" t="str" cm="1">
        <f t="array" ref="B498">_xlfn.TEXTJOIN(", ", TRUE(), _xlfn._xlws.FILTER(Spkrs_Rcrdngs[Speaker],Spkrs_Rcrdngs[Recording]=Rcrdngs[[#This Row],[Text]],"[no speaker selected in Speakers_in_Recordings]"))</f>
        <v>Harran26, Harran06, Harran02</v>
      </c>
      <c r="C498" s="41" t="str" cm="1">
        <f t="array" ref="C498">_xlfn.TEXTJOIN(", ", TRUE(), _xlfn._xlws.FILTER(Sbcts_Rcrdngs[Subject],Sbcts_Rcrdngs[Recording]=Rcrdngs[[#This Row],[Text]],"[no subject selected in Subjects_in_Recordings]"))</f>
        <v>Deeds</v>
      </c>
      <c r="D498" s="25">
        <v>45272</v>
      </c>
      <c r="E498" s="26" t="s">
        <v>1009</v>
      </c>
      <c r="F498" s="27" t="s">
        <v>1202</v>
      </c>
      <c r="G498" s="27" t="s">
        <v>605</v>
      </c>
      <c r="H498" s="27"/>
      <c r="I498" s="6"/>
      <c r="J498" s="6"/>
      <c r="K498" s="6"/>
      <c r="L498" s="6"/>
      <c r="M498" s="6"/>
      <c r="N498" s="6"/>
      <c r="O498" s="27" t="s">
        <v>862</v>
      </c>
      <c r="P498" s="34"/>
      <c r="Q498" s="34" t="s">
        <v>1572</v>
      </c>
      <c r="R498" s="29"/>
    </row>
    <row r="499" spans="1:18" ht="17.25" customHeight="1">
      <c r="A499" s="44" t="s">
        <v>479</v>
      </c>
      <c r="B499" s="23" t="str" cm="1">
        <f t="array" ref="B499">_xlfn.TEXTJOIN(", ", TRUE(), _xlfn._xlws.FILTER(Spkrs_Rcrdngs[Speaker],Spkrs_Rcrdngs[Recording]=Rcrdngs[[#This Row],[Text]],"[no speaker selected in Speakers_in_Recordings]"))</f>
        <v>Harran26, Harran06, Harran02</v>
      </c>
      <c r="C499" s="41" t="str" cm="1">
        <f t="array" ref="C499">_xlfn.TEXTJOIN(", ", TRUE(), _xlfn._xlws.FILTER(Sbcts_Rcrdngs[Subject],Sbcts_Rcrdngs[Recording]=Rcrdngs[[#This Row],[Text]],"[no subject selected in Subjects_in_Recordings]"))</f>
        <v>Families</v>
      </c>
      <c r="D499" s="25">
        <v>45272</v>
      </c>
      <c r="E499" s="26" t="s">
        <v>1573</v>
      </c>
      <c r="F499" s="27" t="s">
        <v>1202</v>
      </c>
      <c r="G499" s="27" t="s">
        <v>605</v>
      </c>
      <c r="H499" s="27"/>
      <c r="I499" s="6"/>
      <c r="J499" s="6"/>
      <c r="K499" s="6"/>
      <c r="L499" s="6"/>
      <c r="M499" s="6"/>
      <c r="N499" s="6"/>
      <c r="O499" s="27" t="s">
        <v>862</v>
      </c>
      <c r="P499" s="34"/>
      <c r="Q499" s="34" t="s">
        <v>1574</v>
      </c>
      <c r="R499" s="29"/>
    </row>
    <row r="500" spans="1:18" ht="17.25" customHeight="1">
      <c r="A500" s="44" t="s">
        <v>480</v>
      </c>
      <c r="B500" s="23" t="str" cm="1">
        <f t="array" ref="B500">_xlfn.TEXTJOIN(", ", TRUE(), _xlfn._xlws.FILTER(Spkrs_Rcrdngs[Speaker],Spkrs_Rcrdngs[Recording]=Rcrdngs[[#This Row],[Text]],"[no speaker selected in Speakers_in_Recordings]"))</f>
        <v>Harran26, Harran06, Harran02</v>
      </c>
      <c r="C500" s="41" t="str" cm="1">
        <f t="array" ref="C500">_xlfn.TEXTJOIN(", ", TRUE(), _xlfn._xlws.FILTER(Sbcts_Rcrdngs[Subject],Sbcts_Rcrdngs[Recording]=Rcrdngs[[#This Row],[Text]],"[no subject selected in Subjects_in_Recordings]"))</f>
        <v>Family History</v>
      </c>
      <c r="D500" s="25">
        <v>45272</v>
      </c>
      <c r="E500" s="26" t="s">
        <v>1575</v>
      </c>
      <c r="F500" s="27" t="s">
        <v>1202</v>
      </c>
      <c r="G500" s="27" t="s">
        <v>605</v>
      </c>
      <c r="H500" s="27"/>
      <c r="I500" s="6"/>
      <c r="J500" s="6"/>
      <c r="K500" s="6"/>
      <c r="L500" s="6"/>
      <c r="M500" s="6"/>
      <c r="N500" s="6"/>
      <c r="O500" s="27" t="s">
        <v>862</v>
      </c>
      <c r="P500" s="34"/>
      <c r="Q500" s="34" t="s">
        <v>1576</v>
      </c>
      <c r="R500" s="29"/>
    </row>
    <row r="501" spans="1:18" ht="17.25" customHeight="1">
      <c r="A501" s="44" t="s">
        <v>481</v>
      </c>
      <c r="B501" s="23" t="str" cm="1">
        <f t="array" ref="B501">_xlfn.TEXTJOIN(", ", TRUE(), _xlfn._xlws.FILTER(Spkrs_Rcrdngs[Speaker],Spkrs_Rcrdngs[Recording]=Rcrdngs[[#This Row],[Text]],"[no speaker selected in Speakers_in_Recordings]"))</f>
        <v>Harran26, Harran06, Harran02, Harran30</v>
      </c>
      <c r="C501" s="41" t="str" cm="1">
        <f t="array" ref="C501">_xlfn.TEXTJOIN(", ", TRUE(), _xlfn._xlws.FILTER(Sbcts_Rcrdngs[Subject],Sbcts_Rcrdngs[Recording]=Rcrdngs[[#This Row],[Text]],"[no subject selected in Subjects_in_Recordings]"))</f>
        <v>Personal Life</v>
      </c>
      <c r="D501" s="25">
        <v>45272</v>
      </c>
      <c r="E501" s="26" t="s">
        <v>1577</v>
      </c>
      <c r="F501" s="27" t="s">
        <v>1202</v>
      </c>
      <c r="G501" s="27" t="s">
        <v>605</v>
      </c>
      <c r="H501" s="27" t="s">
        <v>861</v>
      </c>
      <c r="I501" s="6" t="s">
        <v>604</v>
      </c>
      <c r="J501" s="6" t="s">
        <v>861</v>
      </c>
      <c r="K501" s="6"/>
      <c r="L501" s="6"/>
      <c r="M501" s="6"/>
      <c r="N501" s="6"/>
      <c r="O501" s="27" t="s">
        <v>862</v>
      </c>
      <c r="P501" s="34"/>
      <c r="Q501" s="34" t="s">
        <v>1578</v>
      </c>
      <c r="R501" s="29"/>
    </row>
    <row r="502" spans="1:18" ht="17.25" customHeight="1">
      <c r="A502" s="44" t="s">
        <v>482</v>
      </c>
      <c r="B502" s="23" t="str" cm="1">
        <f t="array" ref="B502">_xlfn.TEXTJOIN(", ", TRUE(), _xlfn._xlws.FILTER(Spkrs_Rcrdngs[Speaker],Spkrs_Rcrdngs[Recording]=Rcrdngs[[#This Row],[Text]],"[no speaker selected in Speakers_in_Recordings]"))</f>
        <v>Yusufkoyu01, Harran03</v>
      </c>
      <c r="C502" s="41" t="str" cm="1">
        <f t="array" ref="C502">_xlfn.TEXTJOIN(", ", TRUE(), _xlfn._xlws.FILTER(Sbcts_Rcrdngs[Subject],Sbcts_Rcrdngs[Recording]=Rcrdngs[[#This Row],[Text]],"[no subject selected in Subjects_in_Recordings]"))</f>
        <v>Forgetting Arabic Culture</v>
      </c>
      <c r="D502" s="25">
        <v>45304</v>
      </c>
      <c r="E502" s="26" t="s">
        <v>1230</v>
      </c>
      <c r="F502" s="27" t="s">
        <v>1202</v>
      </c>
      <c r="G502" s="27" t="s">
        <v>605</v>
      </c>
      <c r="H502" s="27"/>
      <c r="I502" s="6"/>
      <c r="J502" s="6"/>
      <c r="K502" s="6"/>
      <c r="L502" s="6"/>
      <c r="M502" s="6"/>
      <c r="N502" s="6"/>
      <c r="O502" s="27" t="s">
        <v>862</v>
      </c>
      <c r="P502" s="34"/>
      <c r="Q502" s="34" t="s">
        <v>1579</v>
      </c>
      <c r="R502" s="29"/>
    </row>
    <row r="503" spans="1:18" ht="17.25" customHeight="1">
      <c r="A503" s="44" t="s">
        <v>483</v>
      </c>
      <c r="B503" s="23" t="str" cm="1">
        <f t="array" ref="B503">_xlfn.TEXTJOIN(", ", TRUE(), _xlfn._xlws.FILTER(Spkrs_Rcrdngs[Speaker],Spkrs_Rcrdngs[Recording]=Rcrdngs[[#This Row],[Text]],"[no speaker selected in Speakers_in_Recordings]"))</f>
        <v>Yusufkoyu01, Harran02</v>
      </c>
      <c r="C503" s="41" t="str" cm="1">
        <f t="array" ref="C503">_xlfn.TEXTJOIN(", ", TRUE(), _xlfn._xlws.FILTER(Sbcts_Rcrdngs[Subject],Sbcts_Rcrdngs[Recording]=Rcrdngs[[#This Row],[Text]],"[no subject selected in Subjects_in_Recordings]"))</f>
        <v>Cleaning</v>
      </c>
      <c r="D503" s="25">
        <v>45304</v>
      </c>
      <c r="E503" s="26" t="s">
        <v>1580</v>
      </c>
      <c r="F503" s="27" t="s">
        <v>1202</v>
      </c>
      <c r="G503" s="27" t="s">
        <v>605</v>
      </c>
      <c r="H503" s="27"/>
      <c r="I503" s="6"/>
      <c r="J503" s="6"/>
      <c r="K503" s="6"/>
      <c r="L503" s="6"/>
      <c r="M503" s="6"/>
      <c r="N503" s="6"/>
      <c r="O503" s="27" t="s">
        <v>862</v>
      </c>
      <c r="P503" s="34"/>
      <c r="Q503" s="34" t="s">
        <v>1581</v>
      </c>
      <c r="R503" s="29"/>
    </row>
    <row r="504" spans="1:18" ht="17.25" customHeight="1">
      <c r="A504" s="44" t="s">
        <v>484</v>
      </c>
      <c r="B504" s="23" t="str" cm="1">
        <f t="array" ref="B504">_xlfn.TEXTJOIN(", ", TRUE(), _xlfn._xlws.FILTER(Spkrs_Rcrdngs[Speaker],Spkrs_Rcrdngs[Recording]=Rcrdngs[[#This Row],[Text]],"[no speaker selected in Speakers_in_Recordings]"))</f>
        <v>Harran06, Harran02</v>
      </c>
      <c r="C504" s="41" t="str" cm="1">
        <f t="array" ref="C504">_xlfn.TEXTJOIN(", ", TRUE(), _xlfn._xlws.FILTER(Sbcts_Rcrdngs[Subject],Sbcts_Rcrdngs[Recording]=Rcrdngs[[#This Row],[Text]],"[no subject selected in Subjects_in_Recordings]"))</f>
        <v>Family Members</v>
      </c>
      <c r="D504" s="25">
        <v>45309</v>
      </c>
      <c r="E504" s="26" t="s">
        <v>1582</v>
      </c>
      <c r="F504" s="27" t="s">
        <v>1202</v>
      </c>
      <c r="G504" s="27" t="s">
        <v>605</v>
      </c>
      <c r="H504" s="27"/>
      <c r="I504" s="6"/>
      <c r="J504" s="6"/>
      <c r="K504" s="6"/>
      <c r="L504" s="6"/>
      <c r="M504" s="6"/>
      <c r="N504" s="6"/>
      <c r="O504" s="27" t="s">
        <v>862</v>
      </c>
      <c r="P504" s="34"/>
      <c r="Q504" s="34" t="s">
        <v>1583</v>
      </c>
      <c r="R504" s="29"/>
    </row>
    <row r="505" spans="1:18" ht="17.25" customHeight="1">
      <c r="A505" s="44" t="s">
        <v>485</v>
      </c>
      <c r="B505" s="23" t="str" cm="1">
        <f t="array" ref="B505">_xlfn.TEXTJOIN(", ", TRUE(), _xlfn._xlws.FILTER(Spkrs_Rcrdngs[Speaker],Spkrs_Rcrdngs[Recording]=Rcrdngs[[#This Row],[Text]],"[no speaker selected in Speakers_in_Recordings]"))</f>
        <v>Harran06, Harran02</v>
      </c>
      <c r="C505" s="41" t="str" cm="1">
        <f t="array" ref="C505">_xlfn.TEXTJOIN(", ", TRUE(), _xlfn._xlws.FILTER(Sbcts_Rcrdngs[Subject],Sbcts_Rcrdngs[Recording]=Rcrdngs[[#This Row],[Text]],"[no subject selected in Subjects_in_Recordings]"))</f>
        <v>Conversation</v>
      </c>
      <c r="D505" s="25">
        <v>45309</v>
      </c>
      <c r="E505" s="26" t="s">
        <v>1288</v>
      </c>
      <c r="F505" s="27" t="s">
        <v>1202</v>
      </c>
      <c r="G505" s="27" t="s">
        <v>605</v>
      </c>
      <c r="H505" s="27"/>
      <c r="I505" s="6"/>
      <c r="J505" s="6"/>
      <c r="K505" s="6"/>
      <c r="L505" s="6"/>
      <c r="M505" s="6"/>
      <c r="N505" s="6"/>
      <c r="O505" s="27" t="s">
        <v>862</v>
      </c>
      <c r="P505" s="34"/>
      <c r="Q505" s="34" t="s">
        <v>1584</v>
      </c>
      <c r="R505" s="29"/>
    </row>
    <row r="506" spans="1:18" ht="17.25" customHeight="1">
      <c r="A506" s="44" t="s">
        <v>486</v>
      </c>
      <c r="B506" s="23" t="str" cm="1">
        <f t="array" ref="B506">_xlfn.TEXTJOIN(", ", TRUE(), _xlfn._xlws.FILTER(Spkrs_Rcrdngs[Speaker],Spkrs_Rcrdngs[Recording]=Rcrdngs[[#This Row],[Text]],"[no speaker selected in Speakers_in_Recordings]"))</f>
        <v>Harran03, Yusufkoyu01</v>
      </c>
      <c r="C506" s="41" t="str" cm="1">
        <f t="array" ref="C506">_xlfn.TEXTJOIN(", ", TRUE(), _xlfn._xlws.FILTER(Sbcts_Rcrdngs[Subject],Sbcts_Rcrdngs[Recording]=Rcrdngs[[#This Row],[Text]],"[no subject selected in Subjects_in_Recordings]"))</f>
        <v>Mother in law</v>
      </c>
      <c r="D506" s="25">
        <v>45355</v>
      </c>
      <c r="E506" s="26" t="s">
        <v>910</v>
      </c>
      <c r="F506" s="27" t="s">
        <v>1202</v>
      </c>
      <c r="G506" s="27" t="s">
        <v>605</v>
      </c>
      <c r="H506" s="27"/>
      <c r="I506" s="6"/>
      <c r="J506" s="6"/>
      <c r="K506" s="6"/>
      <c r="L506" s="6"/>
      <c r="M506" s="6"/>
      <c r="N506" s="6"/>
      <c r="O506" s="27" t="s">
        <v>862</v>
      </c>
      <c r="P506" s="34"/>
      <c r="Q506" s="34" t="s">
        <v>1585</v>
      </c>
      <c r="R506" s="29"/>
    </row>
    <row r="507" spans="1:18" ht="17.25" customHeight="1">
      <c r="A507" s="44" t="s">
        <v>487</v>
      </c>
      <c r="B507" s="23" t="str" cm="1">
        <f t="array" ref="B507">_xlfn.TEXTJOIN(", ", TRUE(), _xlfn._xlws.FILTER(Spkrs_Rcrdngs[Speaker],Spkrs_Rcrdngs[Recording]=Rcrdngs[[#This Row],[Text]],"[no speaker selected in Speakers_in_Recordings]"))</f>
        <v>Harran03, Yusufkoyu01</v>
      </c>
      <c r="C507" s="41" t="str" cm="1">
        <f t="array" ref="C507">_xlfn.TEXTJOIN(", ", TRUE(), _xlfn._xlws.FILTER(Sbcts_Rcrdngs[Subject],Sbcts_Rcrdngs[Recording]=Rcrdngs[[#This Row],[Text]],"[no subject selected in Subjects_in_Recordings]"))</f>
        <v>Personal Life</v>
      </c>
      <c r="D507" s="25">
        <v>45355</v>
      </c>
      <c r="E507" s="26" t="s">
        <v>1586</v>
      </c>
      <c r="F507" s="27" t="s">
        <v>1202</v>
      </c>
      <c r="G507" s="27" t="s">
        <v>605</v>
      </c>
      <c r="H507" s="27"/>
      <c r="I507" s="6"/>
      <c r="J507" s="6"/>
      <c r="K507" s="6"/>
      <c r="L507" s="6"/>
      <c r="M507" s="6"/>
      <c r="N507" s="6"/>
      <c r="O507" s="27" t="s">
        <v>862</v>
      </c>
      <c r="P507" s="34"/>
      <c r="Q507" s="34" t="s">
        <v>1587</v>
      </c>
      <c r="R507" s="29"/>
    </row>
    <row r="508" spans="1:18" ht="17.25" customHeight="1">
      <c r="A508" s="35" t="s">
        <v>488</v>
      </c>
      <c r="B508" s="23" t="str" cm="1">
        <f t="array" ref="B508">_xlfn.TEXTJOIN(", ", TRUE(), _xlfn._xlws.FILTER(Spkrs_Rcrdngs[Speaker],Spkrs_Rcrdngs[Recording]=Rcrdngs[[#This Row],[Text]],"[no speaker selected in Speakers_in_Recordings]"))</f>
        <v>Harran03, Yusufkoyu01</v>
      </c>
      <c r="C508" s="24" t="str" cm="1">
        <f t="array" ref="C508">_xlfn.TEXTJOIN(", ", TRUE(), _xlfn._xlws.FILTER(Sbcts_Rcrdngs[Subject],Sbcts_Rcrdngs[Recording]=Rcrdngs[[#This Row],[Text]],"[no subject selected in Subjects_in_Recordings]"))</f>
        <v>Conversations</v>
      </c>
      <c r="D508" s="25">
        <v>45355</v>
      </c>
      <c r="E508" s="26" t="s">
        <v>1588</v>
      </c>
      <c r="F508" s="27" t="s">
        <v>1202</v>
      </c>
      <c r="G508" s="27" t="s">
        <v>605</v>
      </c>
      <c r="H508" s="27"/>
      <c r="I508" s="6"/>
      <c r="J508" s="6"/>
      <c r="K508" s="6"/>
      <c r="L508" s="6"/>
      <c r="M508" s="6"/>
      <c r="N508" s="6"/>
      <c r="O508" s="27" t="s">
        <v>862</v>
      </c>
      <c r="P508" s="34"/>
      <c r="Q508" s="28" t="s">
        <v>1589</v>
      </c>
      <c r="R508" s="29"/>
    </row>
    <row r="509" spans="1:18" ht="17.25" customHeight="1">
      <c r="A509" s="35" t="s">
        <v>489</v>
      </c>
      <c r="B509" s="23" t="str" cm="1">
        <f t="array" ref="B509">_xlfn.TEXTJOIN(", ", TRUE(), _xlfn._xlws.FILTER(Spkrs_Rcrdngs[Speaker],Spkrs_Rcrdngs[Recording]=Rcrdngs[[#This Row],[Text]],"[no speaker selected in Speakers_in_Recordings]"))</f>
        <v>Harran02, Harran03, Yusufkoyu01</v>
      </c>
      <c r="C509" s="41" t="str" cm="1">
        <f t="array" ref="C509">_xlfn.TEXTJOIN(", ", TRUE(), _xlfn._xlws.FILTER(Sbcts_Rcrdngs[Subject],Sbcts_Rcrdngs[Recording]=Rcrdngs[[#This Row],[Text]],"[no subject selected in Subjects_in_Recordings]"))</f>
        <v>About a Family, Current situation</v>
      </c>
      <c r="D509" s="25">
        <v>45404</v>
      </c>
      <c r="E509" s="26" t="s">
        <v>1590</v>
      </c>
      <c r="F509" s="27" t="s">
        <v>1202</v>
      </c>
      <c r="G509" s="27" t="s">
        <v>605</v>
      </c>
      <c r="H509" s="27"/>
      <c r="I509" s="6"/>
      <c r="J509" s="6"/>
      <c r="K509" s="6"/>
      <c r="L509" s="6"/>
      <c r="M509" s="6"/>
      <c r="N509" s="6"/>
      <c r="O509" s="27" t="s">
        <v>862</v>
      </c>
      <c r="P509" s="34"/>
      <c r="Q509" s="34" t="s">
        <v>1591</v>
      </c>
      <c r="R509" s="29"/>
    </row>
    <row r="510" spans="1:18" ht="17.25" customHeight="1">
      <c r="A510" s="35" t="s">
        <v>490</v>
      </c>
      <c r="B510" s="23" t="str" cm="1">
        <f t="array" ref="B510">_xlfn.TEXTJOIN(", ", TRUE(), _xlfn._xlws.FILTER(Spkrs_Rcrdngs[Speaker],Spkrs_Rcrdngs[Recording]=Rcrdngs[[#This Row],[Text]],"[no speaker selected in Speakers_in_Recordings]"))</f>
        <v>Harran02</v>
      </c>
      <c r="C510" s="41" t="str" cm="1">
        <f t="array" ref="C510">_xlfn.TEXTJOIN(", ", TRUE(), _xlfn._xlws.FILTER(Sbcts_Rcrdngs[Subject],Sbcts_Rcrdngs[Recording]=Rcrdngs[[#This Row],[Text]],"[no subject selected in Subjects_in_Recordings]"))</f>
        <v>Short</v>
      </c>
      <c r="D510" s="25">
        <v>45418</v>
      </c>
      <c r="E510" s="26" t="s">
        <v>798</v>
      </c>
      <c r="F510" s="27" t="s">
        <v>1202</v>
      </c>
      <c r="G510" s="27" t="s">
        <v>605</v>
      </c>
      <c r="H510" s="27"/>
      <c r="I510" s="6"/>
      <c r="J510" s="6"/>
      <c r="K510" s="6"/>
      <c r="L510" s="6"/>
      <c r="M510" s="6"/>
      <c r="N510" s="6"/>
      <c r="O510" s="27" t="s">
        <v>862</v>
      </c>
      <c r="P510" s="34"/>
      <c r="Q510" s="34" t="s">
        <v>1592</v>
      </c>
      <c r="R510" s="29"/>
    </row>
    <row r="511" spans="1:18" ht="17.25" customHeight="1">
      <c r="A511" s="35" t="s">
        <v>491</v>
      </c>
      <c r="B511" s="23" t="str" cm="1">
        <f t="array" ref="B511">_xlfn.TEXTJOIN(", ", TRUE(), _xlfn._xlws.FILTER(Spkrs_Rcrdngs[Speaker],Spkrs_Rcrdngs[Recording]=Rcrdngs[[#This Row],[Text]],"[no speaker selected in Speakers_in_Recordings]"))</f>
        <v>Harran02</v>
      </c>
      <c r="C511" s="41" t="str" cm="1">
        <f t="array" ref="C511">_xlfn.TEXTJOIN(", ", TRUE(), _xlfn._xlws.FILTER(Sbcts_Rcrdngs[Subject],Sbcts_Rcrdngs[Recording]=Rcrdngs[[#This Row],[Text]],"[no subject selected in Subjects_in_Recordings]"))</f>
        <v>Man and Meat</v>
      </c>
      <c r="D511" s="25">
        <v>45418</v>
      </c>
      <c r="E511" s="26" t="s">
        <v>1593</v>
      </c>
      <c r="F511" s="27" t="s">
        <v>1202</v>
      </c>
      <c r="G511" s="27" t="s">
        <v>605</v>
      </c>
      <c r="H511" s="27" t="s">
        <v>861</v>
      </c>
      <c r="I511" s="6" t="s">
        <v>604</v>
      </c>
      <c r="J511" s="6" t="s">
        <v>861</v>
      </c>
      <c r="K511" s="6"/>
      <c r="L511" s="6"/>
      <c r="M511" s="6"/>
      <c r="N511" s="6"/>
      <c r="O511" s="27" t="s">
        <v>862</v>
      </c>
      <c r="P511" s="34"/>
      <c r="Q511" s="34" t="s">
        <v>1594</v>
      </c>
      <c r="R511" s="29"/>
    </row>
    <row r="512" spans="1:18" ht="17.25" customHeight="1">
      <c r="A512" s="35" t="s">
        <v>492</v>
      </c>
      <c r="B512" s="23" t="str" cm="1">
        <f t="array" ref="B512">_xlfn.TEXTJOIN(", ", TRUE(), _xlfn._xlws.FILTER(Spkrs_Rcrdngs[Speaker],Spkrs_Rcrdngs[Recording]=Rcrdngs[[#This Row],[Text]],"[no speaker selected in Speakers_in_Recordings]"))</f>
        <v>Harran02, Harran03, Yusufkoyu01</v>
      </c>
      <c r="C512" s="41" t="str" cm="1">
        <f t="array" ref="C512">_xlfn.TEXTJOIN(", ", TRUE(), _xlfn._xlws.FILTER(Sbcts_Rcrdngs[Subject],Sbcts_Rcrdngs[Recording]=Rcrdngs[[#This Row],[Text]],"[no subject selected in Subjects_in_Recordings]"))</f>
        <v>Different topics</v>
      </c>
      <c r="D512" s="25">
        <v>45428</v>
      </c>
      <c r="E512" s="26" t="s">
        <v>1595</v>
      </c>
      <c r="F512" s="27" t="s">
        <v>1202</v>
      </c>
      <c r="G512" s="27" t="s">
        <v>605</v>
      </c>
      <c r="H512" s="27"/>
      <c r="I512" s="6"/>
      <c r="J512" s="6"/>
      <c r="K512" s="6"/>
      <c r="L512" s="6"/>
      <c r="M512" s="6"/>
      <c r="N512" s="6"/>
      <c r="O512" s="27" t="s">
        <v>862</v>
      </c>
      <c r="P512" s="34"/>
      <c r="Q512" s="34" t="s">
        <v>1596</v>
      </c>
      <c r="R512" s="29"/>
    </row>
    <row r="513" spans="1:18" ht="17.25" customHeight="1">
      <c r="A513" s="35" t="s">
        <v>493</v>
      </c>
      <c r="B513" s="23" t="str" cm="1">
        <f t="array" ref="B513">_xlfn.TEXTJOIN(", ", TRUE(), _xlfn._xlws.FILTER(Spkrs_Rcrdngs[Speaker],Spkrs_Rcrdngs[Recording]=Rcrdngs[[#This Row],[Text]],"[no speaker selected in Speakers_in_Recordings]"))</f>
        <v>Harran02, Harran03, Yusufkoyu01</v>
      </c>
      <c r="C513" s="24" t="str" cm="1">
        <f t="array" ref="C513">_xlfn.TEXTJOIN(", ", TRUE(), _xlfn._xlws.FILTER(Sbcts_Rcrdngs[Subject],Sbcts_Rcrdngs[Recording]=Rcrdngs[[#This Row],[Text]],"[no subject selected in Subjects_in_Recordings]"))</f>
        <v>About their life</v>
      </c>
      <c r="D513" s="25">
        <v>45428</v>
      </c>
      <c r="E513" s="26" t="s">
        <v>1056</v>
      </c>
      <c r="F513" s="27" t="s">
        <v>1202</v>
      </c>
      <c r="G513" s="27" t="s">
        <v>605</v>
      </c>
      <c r="H513" s="27"/>
      <c r="I513" s="6"/>
      <c r="J513" s="6"/>
      <c r="K513" s="6"/>
      <c r="L513" s="6"/>
      <c r="M513" s="6"/>
      <c r="N513" s="6"/>
      <c r="O513" s="27" t="s">
        <v>862</v>
      </c>
      <c r="P513" s="34"/>
      <c r="Q513" s="28" t="s">
        <v>1597</v>
      </c>
      <c r="R513" s="29"/>
    </row>
    <row r="514" spans="1:18" ht="17.25" customHeight="1">
      <c r="A514" s="35" t="s">
        <v>494</v>
      </c>
      <c r="B514" s="23" t="str" cm="1">
        <f t="array" ref="B514">_xlfn.TEXTJOIN(", ", TRUE(), _xlfn._xlws.FILTER(Spkrs_Rcrdngs[Speaker],Spkrs_Rcrdngs[Recording]=Rcrdngs[[#This Row],[Text]],"[no speaker selected in Speakers_in_Recordings]"))</f>
        <v>Harran03, Yusufkoyu01</v>
      </c>
      <c r="C514" s="41" t="str" cm="1">
        <f t="array" ref="C514">_xlfn.TEXTJOIN(", ", TRUE(), _xlfn._xlws.FILTER(Sbcts_Rcrdngs[Subject],Sbcts_Rcrdngs[Recording]=Rcrdngs[[#This Row],[Text]],"[no subject selected in Subjects_in_Recordings]"))</f>
        <v>Sheikh Matar</v>
      </c>
      <c r="D514" s="25">
        <v>45428</v>
      </c>
      <c r="E514" s="26" t="s">
        <v>1598</v>
      </c>
      <c r="F514" s="27" t="s">
        <v>1202</v>
      </c>
      <c r="G514" s="27" t="s">
        <v>605</v>
      </c>
      <c r="H514" s="27"/>
      <c r="I514" s="6"/>
      <c r="J514" s="6"/>
      <c r="K514" s="6"/>
      <c r="L514" s="6"/>
      <c r="M514" s="6"/>
      <c r="N514" s="6"/>
      <c r="O514" s="27" t="s">
        <v>862</v>
      </c>
      <c r="P514" s="34"/>
      <c r="Q514" s="34" t="s">
        <v>1599</v>
      </c>
      <c r="R514" s="29"/>
    </row>
    <row r="515" spans="1:18" ht="17.25" customHeight="1">
      <c r="A515" s="35" t="s">
        <v>495</v>
      </c>
      <c r="B515" s="23" t="str" cm="1">
        <f t="array" ref="B515">_xlfn.TEXTJOIN(", ", TRUE(), _xlfn._xlws.FILTER(Spkrs_Rcrdngs[Speaker],Spkrs_Rcrdngs[Recording]=Rcrdngs[[#This Row],[Text]],"[no speaker selected in Speakers_in_Recordings]"))</f>
        <v>Yusufkoyu01, Harran03</v>
      </c>
      <c r="C515" s="41" t="str" cm="1">
        <f t="array" ref="C515">_xlfn.TEXTJOIN(", ", TRUE(), _xlfn._xlws.FILTER(Sbcts_Rcrdngs[Subject],Sbcts_Rcrdngs[Recording]=Rcrdngs[[#This Row],[Text]],"[no subject selected in Subjects_in_Recordings]"))</f>
        <v>Cheap stepmother, Getting married, About luck</v>
      </c>
      <c r="D515" s="25">
        <v>45429</v>
      </c>
      <c r="E515" s="26" t="s">
        <v>1477</v>
      </c>
      <c r="F515" s="27" t="s">
        <v>1202</v>
      </c>
      <c r="G515" s="27" t="s">
        <v>605</v>
      </c>
      <c r="H515" s="27"/>
      <c r="I515" s="6"/>
      <c r="J515" s="6"/>
      <c r="K515" s="6"/>
      <c r="L515" s="6"/>
      <c r="M515" s="6"/>
      <c r="N515" s="6"/>
      <c r="O515" s="27" t="s">
        <v>862</v>
      </c>
      <c r="P515" s="34"/>
      <c r="Q515" s="34" t="s">
        <v>1600</v>
      </c>
      <c r="R515" s="29"/>
    </row>
    <row r="516" spans="1:18" ht="17.25" customHeight="1">
      <c r="A516" s="35" t="s">
        <v>496</v>
      </c>
      <c r="B516" s="23" t="str" cm="1">
        <f t="array" ref="B516">_xlfn.TEXTJOIN(", ", TRUE(), _xlfn._xlws.FILTER(Spkrs_Rcrdngs[Speaker],Spkrs_Rcrdngs[Recording]=Rcrdngs[[#This Row],[Text]],"[no speaker selected in Speakers_in_Recordings]"))</f>
        <v>Yusufkoyu01, Harran03</v>
      </c>
      <c r="C516" s="41" t="str" cm="1">
        <f t="array" ref="C516">_xlfn.TEXTJOIN(", ", TRUE(), _xlfn._xlws.FILTER(Sbcts_Rcrdngs[Subject],Sbcts_Rcrdngs[Recording]=Rcrdngs[[#This Row],[Text]],"[no subject selected in Subjects_in_Recordings]"))</f>
        <v>A Woman</v>
      </c>
      <c r="D516" s="25">
        <v>45429</v>
      </c>
      <c r="E516" s="26" t="s">
        <v>1328</v>
      </c>
      <c r="F516" s="27" t="s">
        <v>1202</v>
      </c>
      <c r="G516" s="27" t="s">
        <v>605</v>
      </c>
      <c r="H516" s="27"/>
      <c r="I516" s="6"/>
      <c r="J516" s="6"/>
      <c r="K516" s="6"/>
      <c r="L516" s="6"/>
      <c r="M516" s="6"/>
      <c r="N516" s="6"/>
      <c r="O516" s="27" t="s">
        <v>862</v>
      </c>
      <c r="P516" s="34"/>
      <c r="Q516" s="34" t="s">
        <v>1601</v>
      </c>
      <c r="R516" s="29"/>
    </row>
    <row r="517" spans="1:18" ht="17.25" customHeight="1">
      <c r="A517" s="35" t="s">
        <v>497</v>
      </c>
      <c r="B517" s="23" t="str" cm="1">
        <f t="array" ref="B517">_xlfn.TEXTJOIN(", ", TRUE(), _xlfn._xlws.FILTER(Spkrs_Rcrdngs[Speaker],Spkrs_Rcrdngs[Recording]=Rcrdngs[[#This Row],[Text]],"[no speaker selected in Speakers_in_Recordings]"))</f>
        <v>Yusufkoyu01, Harran03</v>
      </c>
      <c r="C517" s="41" t="str" cm="1">
        <f t="array" ref="C517">_xlfn.TEXTJOIN(", ", TRUE(), _xlfn._xlws.FILTER(Sbcts_Rcrdngs[Subject],Sbcts_Rcrdngs[Recording]=Rcrdngs[[#This Row],[Text]],"[no subject selected in Subjects_in_Recordings]"))</f>
        <v>Her brother, Seasonal fruits, Food</v>
      </c>
      <c r="D517" s="25">
        <v>45429</v>
      </c>
      <c r="E517" s="26" t="s">
        <v>1479</v>
      </c>
      <c r="F517" s="27" t="s">
        <v>1202</v>
      </c>
      <c r="G517" s="27" t="s">
        <v>605</v>
      </c>
      <c r="H517" s="27"/>
      <c r="I517" s="6"/>
      <c r="J517" s="6"/>
      <c r="K517" s="6"/>
      <c r="L517" s="6"/>
      <c r="M517" s="6"/>
      <c r="N517" s="6"/>
      <c r="O517" s="27" t="s">
        <v>862</v>
      </c>
      <c r="P517" s="34"/>
      <c r="Q517" s="34" t="s">
        <v>1602</v>
      </c>
      <c r="R517" s="29"/>
    </row>
    <row r="518" spans="1:18" ht="17.25" customHeight="1">
      <c r="A518" s="35" t="s">
        <v>498</v>
      </c>
      <c r="B518" s="23" t="str" cm="1">
        <f t="array" ref="B518">_xlfn.TEXTJOIN(", ", TRUE(), _xlfn._xlws.FILTER(Spkrs_Rcrdngs[Speaker],Spkrs_Rcrdngs[Recording]=Rcrdngs[[#This Row],[Text]],"[no speaker selected in Speakers_in_Recordings]"))</f>
        <v>Yusufkoyu01, Harran03</v>
      </c>
      <c r="C518" s="41" t="str" cm="1">
        <f t="array" ref="C518">_xlfn.TEXTJOIN(", ", TRUE(), _xlfn._xlws.FILTER(Sbcts_Rcrdngs[Subject],Sbcts_Rcrdngs[Recording]=Rcrdngs[[#This Row],[Text]],"[no subject selected in Subjects_in_Recordings]"))</f>
        <v>Different topics, Self-pride</v>
      </c>
      <c r="D518" s="25">
        <v>45429</v>
      </c>
      <c r="E518" s="26" t="s">
        <v>1603</v>
      </c>
      <c r="F518" s="27" t="s">
        <v>1202</v>
      </c>
      <c r="G518" s="27" t="s">
        <v>605</v>
      </c>
      <c r="H518" s="27" t="s">
        <v>604</v>
      </c>
      <c r="I518" s="6" t="s">
        <v>861</v>
      </c>
      <c r="J518" s="6" t="s">
        <v>861</v>
      </c>
      <c r="K518" s="6"/>
      <c r="L518" s="6"/>
      <c r="M518" s="6"/>
      <c r="N518" s="6"/>
      <c r="O518" s="27" t="s">
        <v>862</v>
      </c>
      <c r="P518" s="34"/>
      <c r="Q518" s="34" t="s">
        <v>1604</v>
      </c>
      <c r="R518" s="29"/>
    </row>
    <row r="519" spans="1:18" ht="17.25" customHeight="1">
      <c r="A519" s="35" t="s">
        <v>499</v>
      </c>
      <c r="B519" s="23" t="str" cm="1">
        <f t="array" ref="B519">_xlfn.TEXTJOIN(", ", TRUE(), _xlfn._xlws.FILTER(Spkrs_Rcrdngs[Speaker],Spkrs_Rcrdngs[Recording]=Rcrdngs[[#This Row],[Text]],"[no speaker selected in Speakers_in_Recordings]"))</f>
        <v>Yusufkoyu01, Harran03</v>
      </c>
      <c r="C519" s="41" t="str" cm="1">
        <f t="array" ref="C519">_xlfn.TEXTJOIN(", ", TRUE(), _xlfn._xlws.FILTER(Sbcts_Rcrdngs[Subject],Sbcts_Rcrdngs[Recording]=Rcrdngs[[#This Row],[Text]],"[no subject selected in Subjects_in_Recordings]"))</f>
        <v>Conversations</v>
      </c>
      <c r="D519" s="25">
        <v>45429</v>
      </c>
      <c r="E519" s="26" t="s">
        <v>1479</v>
      </c>
      <c r="F519" s="27" t="s">
        <v>1202</v>
      </c>
      <c r="G519" s="27" t="s">
        <v>605</v>
      </c>
      <c r="H519" s="27"/>
      <c r="I519" s="6"/>
      <c r="J519" s="6"/>
      <c r="K519" s="6"/>
      <c r="L519" s="6"/>
      <c r="M519" s="6"/>
      <c r="N519" s="6"/>
      <c r="O519" s="27" t="s">
        <v>862</v>
      </c>
      <c r="P519" s="34"/>
      <c r="Q519" s="34" t="s">
        <v>1605</v>
      </c>
      <c r="R519" s="29"/>
    </row>
    <row r="520" spans="1:18" ht="17.25" customHeight="1">
      <c r="A520" s="35" t="s">
        <v>500</v>
      </c>
      <c r="B520" s="23" t="str" cm="1">
        <f t="array" ref="B520">_xlfn.TEXTJOIN(", ", TRUE(), _xlfn._xlws.FILTER(Spkrs_Rcrdngs[Speaker],Spkrs_Rcrdngs[Recording]=Rcrdngs[[#This Row],[Text]],"[no speaker selected in Speakers_in_Recordings]"))</f>
        <v>Harran06, Harran03</v>
      </c>
      <c r="C520" s="41" t="str" cm="1">
        <f t="array" ref="C520">_xlfn.TEXTJOIN(", ", TRUE(), _xlfn._xlws.FILTER(Sbcts_Rcrdngs[Subject],Sbcts_Rcrdngs[Recording]=Rcrdngs[[#This Row],[Text]],"[no subject selected in Subjects_in_Recordings]"))</f>
        <v>Conversation</v>
      </c>
      <c r="D520" s="25">
        <v>45456</v>
      </c>
      <c r="E520" s="26" t="s">
        <v>1208</v>
      </c>
      <c r="F520" s="27" t="s">
        <v>1202</v>
      </c>
      <c r="G520" s="27" t="s">
        <v>605</v>
      </c>
      <c r="H520" s="27"/>
      <c r="I520" s="6"/>
      <c r="J520" s="6"/>
      <c r="K520" s="6"/>
      <c r="L520" s="6"/>
      <c r="M520" s="6"/>
      <c r="N520" s="6"/>
      <c r="O520" s="27" t="s">
        <v>862</v>
      </c>
      <c r="P520" s="34"/>
      <c r="Q520" s="34" t="s">
        <v>1606</v>
      </c>
      <c r="R520" s="29"/>
    </row>
    <row r="521" spans="1:18" ht="17.25" customHeight="1">
      <c r="A521" s="35" t="s">
        <v>501</v>
      </c>
      <c r="B521" s="23" t="str" cm="1">
        <f t="array" ref="B521">_xlfn.TEXTJOIN(", ", TRUE(), _xlfn._xlws.FILTER(Spkrs_Rcrdngs[Speaker],Spkrs_Rcrdngs[Recording]=Rcrdngs[[#This Row],[Text]],"[no speaker selected in Speakers_in_Recordings]"))</f>
        <v>Harran06, Harran03</v>
      </c>
      <c r="C521" s="41" t="str" cm="1">
        <f t="array" ref="C521">_xlfn.TEXTJOIN(", ", TRUE(), _xlfn._xlws.FILTER(Sbcts_Rcrdngs[Subject],Sbcts_Rcrdngs[Recording]=Rcrdngs[[#This Row],[Text]],"[no subject selected in Subjects_in_Recordings]"))</f>
        <v>Conversation</v>
      </c>
      <c r="D521" s="25">
        <v>45456</v>
      </c>
      <c r="E521" s="26" t="s">
        <v>705</v>
      </c>
      <c r="F521" s="27" t="s">
        <v>1202</v>
      </c>
      <c r="G521" s="27" t="s">
        <v>605</v>
      </c>
      <c r="H521" s="27"/>
      <c r="I521" s="6"/>
      <c r="J521" s="6"/>
      <c r="K521" s="6"/>
      <c r="L521" s="6"/>
      <c r="M521" s="6"/>
      <c r="N521" s="6"/>
      <c r="O521" s="27" t="s">
        <v>862</v>
      </c>
      <c r="P521" s="34"/>
      <c r="Q521" s="34" t="s">
        <v>1607</v>
      </c>
      <c r="R521" s="29"/>
    </row>
    <row r="522" spans="1:18" ht="17.25" customHeight="1">
      <c r="A522" s="35" t="s">
        <v>502</v>
      </c>
      <c r="B522" s="23" t="str" cm="1">
        <f t="array" ref="B522">_xlfn.TEXTJOIN(", ", TRUE(), _xlfn._xlws.FILTER(Spkrs_Rcrdngs[Speaker],Spkrs_Rcrdngs[Recording]=Rcrdngs[[#This Row],[Text]],"[no speaker selected in Speakers_in_Recordings]"))</f>
        <v>Yusufkoyu01</v>
      </c>
      <c r="C522" s="41" t="str" cm="1">
        <f t="array" ref="C522">_xlfn.TEXTJOIN(", ", TRUE(), _xlfn._xlws.FILTER(Sbcts_Rcrdngs[Subject],Sbcts_Rcrdngs[Recording]=Rcrdngs[[#This Row],[Text]],"[no subject selected in Subjects_in_Recordings]"))</f>
        <v>Story</v>
      </c>
      <c r="D522" s="25">
        <v>45488</v>
      </c>
      <c r="E522" s="26" t="s">
        <v>1608</v>
      </c>
      <c r="F522" s="27" t="s">
        <v>1202</v>
      </c>
      <c r="G522" s="27" t="s">
        <v>605</v>
      </c>
      <c r="H522" s="27"/>
      <c r="I522" s="6"/>
      <c r="J522" s="6"/>
      <c r="K522" s="6"/>
      <c r="L522" s="6"/>
      <c r="M522" s="6"/>
      <c r="N522" s="6"/>
      <c r="O522" s="27" t="s">
        <v>862</v>
      </c>
      <c r="P522" s="34"/>
      <c r="Q522" s="34" t="s">
        <v>1609</v>
      </c>
      <c r="R522" s="29"/>
    </row>
    <row r="523" spans="1:18" ht="17.25" customHeight="1">
      <c r="A523" s="35" t="s">
        <v>503</v>
      </c>
      <c r="B523" s="23" t="str" cm="1">
        <f t="array" ref="B523">_xlfn.TEXTJOIN(", ", TRUE(), _xlfn._xlws.FILTER(Spkrs_Rcrdngs[Speaker],Spkrs_Rcrdngs[Recording]=Rcrdngs[[#This Row],[Text]],"[no speaker selected in Speakers_in_Recordings]"))</f>
        <v>Harran02</v>
      </c>
      <c r="C523" s="41" t="str" cm="1">
        <f t="array" ref="C523">_xlfn.TEXTJOIN(", ", TRUE(), _xlfn._xlws.FILTER(Sbcts_Rcrdngs[Subject],Sbcts_Rcrdngs[Recording]=Rcrdngs[[#This Row],[Text]],"[no subject selected in Subjects_in_Recordings]"))</f>
        <v>Short</v>
      </c>
      <c r="D523" s="25">
        <v>45493</v>
      </c>
      <c r="E523" s="26" t="s">
        <v>798</v>
      </c>
      <c r="F523" s="27" t="s">
        <v>1202</v>
      </c>
      <c r="G523" s="27" t="s">
        <v>605</v>
      </c>
      <c r="H523" s="27"/>
      <c r="I523" s="6"/>
      <c r="J523" s="6"/>
      <c r="K523" s="6"/>
      <c r="L523" s="6"/>
      <c r="M523" s="6"/>
      <c r="N523" s="6"/>
      <c r="O523" s="27" t="s">
        <v>862</v>
      </c>
      <c r="P523" s="34"/>
      <c r="Q523" s="34" t="s">
        <v>1610</v>
      </c>
      <c r="R523" s="29"/>
    </row>
    <row r="524" spans="1:18" ht="17.25" customHeight="1">
      <c r="A524" s="35" t="s">
        <v>504</v>
      </c>
      <c r="B524" s="23" t="str" cm="1">
        <f t="array" ref="B524">_xlfn.TEXTJOIN(", ", TRUE(), _xlfn._xlws.FILTER(Spkrs_Rcrdngs[Speaker],Spkrs_Rcrdngs[Recording]=Rcrdngs[[#This Row],[Text]],"[no speaker selected in Speakers_in_Recordings]"))</f>
        <v>Harran20</v>
      </c>
      <c r="C524" s="24" t="str" cm="1">
        <f t="array" ref="C524">_xlfn.TEXTJOIN(", ", TRUE(), _xlfn._xlws.FILTER(Sbcts_Rcrdngs[Subject],Sbcts_Rcrdngs[Recording]=Rcrdngs[[#This Row],[Text]],"[no subject selected in Subjects_in_Recordings]"))</f>
        <v>Stories from the Past</v>
      </c>
      <c r="D524" s="25">
        <v>45507</v>
      </c>
      <c r="E524" s="26" t="s">
        <v>1611</v>
      </c>
      <c r="F524" s="27" t="s">
        <v>1202</v>
      </c>
      <c r="G524" s="27" t="s">
        <v>605</v>
      </c>
      <c r="H524" s="27"/>
      <c r="I524" s="6"/>
      <c r="J524" s="6"/>
      <c r="K524" s="6"/>
      <c r="L524" s="6"/>
      <c r="M524" s="6"/>
      <c r="N524" s="6"/>
      <c r="O524" s="27" t="s">
        <v>862</v>
      </c>
      <c r="P524" s="34"/>
      <c r="Q524" s="28" t="s">
        <v>1612</v>
      </c>
      <c r="R524" s="29"/>
    </row>
    <row r="525" spans="1:18" ht="17.25" customHeight="1">
      <c r="A525" s="35" t="s">
        <v>505</v>
      </c>
      <c r="B525" s="23" t="str" cm="1">
        <f t="array" ref="B525">_xlfn.TEXTJOIN(", ", TRUE(), _xlfn._xlws.FILTER(Spkrs_Rcrdngs[Speaker],Spkrs_Rcrdngs[Recording]=Rcrdngs[[#This Row],[Text]],"[no speaker selected in Speakers_in_Recordings]"))</f>
        <v>Harran04</v>
      </c>
      <c r="C525" s="41" t="str" cm="1">
        <f t="array" ref="C525">_xlfn.TEXTJOIN(", ", TRUE(), _xlfn._xlws.FILTER(Sbcts_Rcrdngs[Subject],Sbcts_Rcrdngs[Recording]=Rcrdngs[[#This Row],[Text]],"[no subject selected in Subjects_in_Recordings]"))</f>
        <v>Story</v>
      </c>
      <c r="D525" s="25">
        <v>45536</v>
      </c>
      <c r="E525" s="26" t="s">
        <v>1490</v>
      </c>
      <c r="F525" s="27" t="s">
        <v>1202</v>
      </c>
      <c r="G525" s="27" t="s">
        <v>605</v>
      </c>
      <c r="H525" s="27"/>
      <c r="I525" s="6"/>
      <c r="J525" s="6"/>
      <c r="K525" s="6"/>
      <c r="L525" s="6"/>
      <c r="M525" s="6"/>
      <c r="N525" s="6"/>
      <c r="O525" s="27" t="s">
        <v>862</v>
      </c>
      <c r="P525" s="34"/>
      <c r="Q525" s="34" t="s">
        <v>1613</v>
      </c>
      <c r="R525" s="29"/>
    </row>
    <row r="526" spans="1:18" ht="17.25" customHeight="1">
      <c r="A526" s="35" t="s">
        <v>506</v>
      </c>
      <c r="B526" s="23" t="str" cm="1">
        <f t="array" ref="B526">_xlfn.TEXTJOIN(", ", TRUE(), _xlfn._xlws.FILTER(Spkrs_Rcrdngs[Speaker],Spkrs_Rcrdngs[Recording]=Rcrdngs[[#This Row],[Text]],"[no speaker selected in Speakers_in_Recordings]"))</f>
        <v>Harran21</v>
      </c>
      <c r="C526" s="41" t="str" cm="1">
        <f t="array" ref="C526">_xlfn.TEXTJOIN(", ", TRUE(), _xlfn._xlws.FILTER(Sbcts_Rcrdngs[Subject],Sbcts_Rcrdngs[Recording]=Rcrdngs[[#This Row],[Text]],"[no subject selected in Subjects_in_Recordings]"))</f>
        <v>Sheikh Matar</v>
      </c>
      <c r="D526" s="25">
        <v>45564</v>
      </c>
      <c r="E526" s="26" t="s">
        <v>1614</v>
      </c>
      <c r="F526" s="27" t="s">
        <v>1202</v>
      </c>
      <c r="G526" s="27" t="s">
        <v>605</v>
      </c>
      <c r="H526" s="27"/>
      <c r="I526" s="6"/>
      <c r="J526" s="6"/>
      <c r="K526" s="6"/>
      <c r="L526" s="6"/>
      <c r="M526" s="6"/>
      <c r="N526" s="6"/>
      <c r="O526" s="27" t="s">
        <v>862</v>
      </c>
      <c r="P526" s="34"/>
      <c r="Q526" s="34" t="s">
        <v>1615</v>
      </c>
      <c r="R526" s="29"/>
    </row>
    <row r="527" spans="1:18" ht="17.25" customHeight="1">
      <c r="A527" s="35" t="s">
        <v>507</v>
      </c>
      <c r="B527" s="23" t="str" cm="1">
        <f t="array" ref="B527">_xlfn.TEXTJOIN(", ", TRUE(), _xlfn._xlws.FILTER(Spkrs_Rcrdngs[Speaker],Spkrs_Rcrdngs[Recording]=Rcrdngs[[#This Row],[Text]],"[no speaker selected in Speakers_in_Recordings]"))</f>
        <v>Harran22</v>
      </c>
      <c r="C527" s="41" t="str" cm="1">
        <f t="array" ref="C527">_xlfn.TEXTJOIN(", ", TRUE(), _xlfn._xlws.FILTER(Sbcts_Rcrdngs[Subject],Sbcts_Rcrdngs[Recording]=Rcrdngs[[#This Row],[Text]],"[no subject selected in Subjects_in_Recordings]"))</f>
        <v>Story</v>
      </c>
      <c r="D527" s="25">
        <v>45571</v>
      </c>
      <c r="E527" s="26" t="s">
        <v>876</v>
      </c>
      <c r="F527" s="27" t="s">
        <v>1202</v>
      </c>
      <c r="G527" s="27" t="s">
        <v>605</v>
      </c>
      <c r="H527" s="27"/>
      <c r="I527" s="6"/>
      <c r="J527" s="6"/>
      <c r="K527" s="6"/>
      <c r="L527" s="6"/>
      <c r="M527" s="6"/>
      <c r="N527" s="6"/>
      <c r="O527" s="27" t="s">
        <v>862</v>
      </c>
      <c r="P527" s="34"/>
      <c r="Q527" s="34" t="s">
        <v>1616</v>
      </c>
      <c r="R527" s="29"/>
    </row>
    <row r="528" spans="1:18" ht="17.25" customHeight="1">
      <c r="A528" s="35" t="s">
        <v>508</v>
      </c>
      <c r="B528" s="23" t="str" cm="1">
        <f t="array" ref="B528">_xlfn.TEXTJOIN(", ", TRUE(), _xlfn._xlws.FILTER(Spkrs_Rcrdngs[Speaker],Spkrs_Rcrdngs[Recording]=Rcrdngs[[#This Row],[Text]],"[no speaker selected in Speakers_in_Recordings]"))</f>
        <v>Harran02</v>
      </c>
      <c r="C528" s="41" t="str" cm="1">
        <f t="array" ref="C528">_xlfn.TEXTJOIN(", ", TRUE(), _xlfn._xlws.FILTER(Sbcts_Rcrdngs[Subject],Sbcts_Rcrdngs[Recording]=Rcrdngs[[#This Row],[Text]],"[no subject selected in Subjects_in_Recordings]"))</f>
        <v>Threats</v>
      </c>
      <c r="D528" s="25">
        <v>45587</v>
      </c>
      <c r="E528" s="26" t="s">
        <v>1617</v>
      </c>
      <c r="F528" s="27" t="s">
        <v>861</v>
      </c>
      <c r="G528" s="27" t="s">
        <v>605</v>
      </c>
      <c r="H528" s="27"/>
      <c r="I528" s="6"/>
      <c r="J528" s="6"/>
      <c r="K528" s="6"/>
      <c r="L528" s="6"/>
      <c r="M528" s="6"/>
      <c r="N528" s="6"/>
      <c r="O528" s="27" t="s">
        <v>862</v>
      </c>
      <c r="P528" s="34"/>
      <c r="Q528" s="34" t="s">
        <v>1618</v>
      </c>
      <c r="R528" s="29"/>
    </row>
    <row r="529" spans="1:18" ht="17.25" customHeight="1">
      <c r="A529" s="35" t="s">
        <v>509</v>
      </c>
      <c r="B529" s="23" t="str" cm="1">
        <f t="array" ref="B529">_xlfn.TEXTJOIN(", ", TRUE(), _xlfn._xlws.FILTER(Spkrs_Rcrdngs[Speaker],Spkrs_Rcrdngs[Recording]=Rcrdngs[[#This Row],[Text]],"[no speaker selected in Speakers_in_Recordings]"))</f>
        <v>Harran03</v>
      </c>
      <c r="C529" s="41" t="str" cm="1">
        <f t="array" ref="C529">_xlfn.TEXTJOIN(", ", TRUE(), _xlfn._xlws.FILTER(Sbcts_Rcrdngs[Subject],Sbcts_Rcrdngs[Recording]=Rcrdngs[[#This Row],[Text]],"[no subject selected in Subjects_in_Recordings]"))</f>
        <v>Doctor Story</v>
      </c>
      <c r="D529" s="25">
        <v>45588</v>
      </c>
      <c r="E529" s="26" t="s">
        <v>872</v>
      </c>
      <c r="F529" s="27" t="s">
        <v>861</v>
      </c>
      <c r="G529" s="27" t="s">
        <v>605</v>
      </c>
      <c r="H529" s="27" t="s">
        <v>861</v>
      </c>
      <c r="I529" s="6" t="s">
        <v>604</v>
      </c>
      <c r="J529" s="6" t="s">
        <v>861</v>
      </c>
      <c r="K529" s="6" t="s">
        <v>604</v>
      </c>
      <c r="L529" s="6" t="s">
        <v>861</v>
      </c>
      <c r="M529" s="6"/>
      <c r="N529" s="6"/>
      <c r="O529" s="27" t="s">
        <v>862</v>
      </c>
      <c r="P529" s="34"/>
      <c r="Q529" s="34" t="s">
        <v>1619</v>
      </c>
      <c r="R529" s="29"/>
    </row>
    <row r="530" spans="1:18" ht="17.25" customHeight="1">
      <c r="A530" s="35" t="s">
        <v>510</v>
      </c>
      <c r="B530" s="23" t="str" cm="1">
        <f t="array" ref="B530">_xlfn.TEXTJOIN(", ", TRUE(), _xlfn._xlws.FILTER(Spkrs_Rcrdngs[Speaker],Spkrs_Rcrdngs[Recording]=Rcrdngs[[#This Row],[Text]],"[no speaker selected in Speakers_in_Recordings]"))</f>
        <v>Harran03</v>
      </c>
      <c r="C530" s="41" t="str" cm="1">
        <f t="array" ref="C530">_xlfn.TEXTJOIN(", ", TRUE(), _xlfn._xlws.FILTER(Sbcts_Rcrdngs[Subject],Sbcts_Rcrdngs[Recording]=Rcrdngs[[#This Row],[Text]],"[no subject selected in Subjects_in_Recordings]"))</f>
        <v>Bastard</v>
      </c>
      <c r="D530" s="25">
        <v>45588</v>
      </c>
      <c r="E530" s="26" t="s">
        <v>1620</v>
      </c>
      <c r="F530" s="27" t="s">
        <v>861</v>
      </c>
      <c r="G530" s="27" t="s">
        <v>605</v>
      </c>
      <c r="H530" s="27" t="s">
        <v>861</v>
      </c>
      <c r="I530" s="6" t="s">
        <v>604</v>
      </c>
      <c r="J530" s="6" t="s">
        <v>861</v>
      </c>
      <c r="K530" s="6"/>
      <c r="L530" s="6"/>
      <c r="M530" s="6"/>
      <c r="N530" s="6"/>
      <c r="O530" s="27" t="s">
        <v>862</v>
      </c>
      <c r="P530" s="34"/>
      <c r="Q530" s="34" t="s">
        <v>1621</v>
      </c>
      <c r="R530" s="29"/>
    </row>
    <row r="531" spans="1:18" ht="17.25" customHeight="1">
      <c r="A531" s="35" t="s">
        <v>511</v>
      </c>
      <c r="B531" s="23" t="str" cm="1">
        <f t="array" ref="B531">_xlfn.TEXTJOIN(", ", TRUE(), _xlfn._xlws.FILTER(Spkrs_Rcrdngs[Speaker],Spkrs_Rcrdngs[Recording]=Rcrdngs[[#This Row],[Text]],"[no speaker selected in Speakers_in_Recordings]"))</f>
        <v>Harran06</v>
      </c>
      <c r="C531" s="41" t="str" cm="1">
        <f t="array" ref="C531">_xlfn.TEXTJOIN(", ", TRUE(), _xlfn._xlws.FILTER(Sbcts_Rcrdngs[Subject],Sbcts_Rcrdngs[Recording]=Rcrdngs[[#This Row],[Text]],"[no subject selected in Subjects_in_Recordings]"))</f>
        <v>Tribes</v>
      </c>
      <c r="D531" s="25">
        <v>45591</v>
      </c>
      <c r="E531" s="26" t="s">
        <v>1622</v>
      </c>
      <c r="F531" s="27" t="s">
        <v>861</v>
      </c>
      <c r="G531" s="27" t="s">
        <v>605</v>
      </c>
      <c r="H531" s="27"/>
      <c r="I531" s="6"/>
      <c r="J531" s="6"/>
      <c r="K531" s="6"/>
      <c r="L531" s="6"/>
      <c r="M531" s="6"/>
      <c r="N531" s="6"/>
      <c r="O531" s="27" t="s">
        <v>862</v>
      </c>
      <c r="P531" s="34"/>
      <c r="Q531" s="34" t="s">
        <v>1623</v>
      </c>
      <c r="R531" s="29"/>
    </row>
    <row r="532" spans="1:18" ht="17.25" customHeight="1">
      <c r="A532" s="35" t="s">
        <v>512</v>
      </c>
      <c r="B532" s="23" t="str" cm="1">
        <f t="array" ref="B532">_xlfn.TEXTJOIN(", ", TRUE(), _xlfn._xlws.FILTER(Spkrs_Rcrdngs[Speaker],Spkrs_Rcrdngs[Recording]=Rcrdngs[[#This Row],[Text]],"[no speaker selected in Speakers_in_Recordings]"))</f>
        <v>Harran06</v>
      </c>
      <c r="C532" s="41" t="str" cm="1">
        <f t="array" ref="C532">_xlfn.TEXTJOIN(", ", TRUE(), _xlfn._xlws.FILTER(Sbcts_Rcrdngs[Subject],Sbcts_Rcrdngs[Recording]=Rcrdngs[[#This Row],[Text]],"[no subject selected in Subjects_in_Recordings]"))</f>
        <v>Bozaw Family</v>
      </c>
      <c r="D532" s="25">
        <v>45591</v>
      </c>
      <c r="E532" s="26" t="s">
        <v>1624</v>
      </c>
      <c r="F532" s="27" t="s">
        <v>861</v>
      </c>
      <c r="G532" s="27" t="s">
        <v>605</v>
      </c>
      <c r="H532" s="27"/>
      <c r="I532" s="6"/>
      <c r="J532" s="6"/>
      <c r="K532" s="6"/>
      <c r="L532" s="6"/>
      <c r="M532" s="6"/>
      <c r="N532" s="6"/>
      <c r="O532" s="27" t="s">
        <v>862</v>
      </c>
      <c r="P532" s="34"/>
      <c r="Q532" s="34" t="s">
        <v>1625</v>
      </c>
      <c r="R532" s="29"/>
    </row>
    <row r="533" spans="1:18" ht="17.25" customHeight="1">
      <c r="A533" s="35" t="s">
        <v>513</v>
      </c>
      <c r="B533" s="23" t="str" cm="1">
        <f t="array" ref="B533">_xlfn.TEXTJOIN(", ", TRUE(), _xlfn._xlws.FILTER(Spkrs_Rcrdngs[Speaker],Spkrs_Rcrdngs[Recording]=Rcrdngs[[#This Row],[Text]],"[no speaker selected in Speakers_in_Recordings]"))</f>
        <v>Harran06</v>
      </c>
      <c r="C533" s="24" t="str" cm="1">
        <f t="array" ref="C533">_xlfn.TEXTJOIN(", ", TRUE(), _xlfn._xlws.FILTER(Sbcts_Rcrdngs[Subject],Sbcts_Rcrdngs[Recording]=Rcrdngs[[#This Row],[Text]],"[no subject selected in Subjects_in_Recordings]"))</f>
        <v>Bozaw Family</v>
      </c>
      <c r="D533" s="25">
        <v>45591</v>
      </c>
      <c r="E533" s="26" t="s">
        <v>757</v>
      </c>
      <c r="F533" s="27" t="s">
        <v>861</v>
      </c>
      <c r="G533" s="27" t="s">
        <v>605</v>
      </c>
      <c r="H533" s="27"/>
      <c r="I533" s="6"/>
      <c r="J533" s="6"/>
      <c r="K533" s="6"/>
      <c r="L533" s="6"/>
      <c r="M533" s="6"/>
      <c r="N533" s="6"/>
      <c r="O533" s="27" t="s">
        <v>862</v>
      </c>
      <c r="P533" s="34"/>
      <c r="Q533" s="28" t="s">
        <v>1626</v>
      </c>
      <c r="R533" s="29"/>
    </row>
    <row r="534" spans="1:18" ht="17.25" customHeight="1">
      <c r="A534" s="35" t="s">
        <v>514</v>
      </c>
      <c r="B534" s="23" t="str" cm="1">
        <f t="array" ref="B534">_xlfn.TEXTJOIN(", ", TRUE(), _xlfn._xlws.FILTER(Spkrs_Rcrdngs[Speaker],Spkrs_Rcrdngs[Recording]=Rcrdngs[[#This Row],[Text]],"[no speaker selected in Speakers_in_Recordings]"))</f>
        <v>Harran03</v>
      </c>
      <c r="C534" s="41" t="str" cm="1">
        <f t="array" ref="C534">_xlfn.TEXTJOIN(", ", TRUE(), _xlfn._xlws.FILTER(Sbcts_Rcrdngs[Subject],Sbcts_Rcrdngs[Recording]=Rcrdngs[[#This Row],[Text]],"[no subject selected in Subjects_in_Recordings]"))</f>
        <v>Father Straw</v>
      </c>
      <c r="D534" s="25">
        <v>45592</v>
      </c>
      <c r="E534" s="26" t="s">
        <v>1627</v>
      </c>
      <c r="F534" s="27" t="s">
        <v>861</v>
      </c>
      <c r="G534" s="27" t="s">
        <v>605</v>
      </c>
      <c r="H534" s="27"/>
      <c r="I534" s="6"/>
      <c r="J534" s="6"/>
      <c r="K534" s="6"/>
      <c r="L534" s="6"/>
      <c r="M534" s="6"/>
      <c r="N534" s="6"/>
      <c r="O534" s="27" t="s">
        <v>862</v>
      </c>
      <c r="P534" s="34"/>
      <c r="Q534" s="34" t="s">
        <v>1628</v>
      </c>
      <c r="R534" s="29"/>
    </row>
    <row r="535" spans="1:18" ht="17.25" customHeight="1">
      <c r="A535" s="35" t="s">
        <v>515</v>
      </c>
      <c r="B535" s="23" t="str" cm="1">
        <f t="array" ref="B535">_xlfn.TEXTJOIN(", ", TRUE(), _xlfn._xlws.FILTER(Spkrs_Rcrdngs[Speaker],Spkrs_Rcrdngs[Recording]=Rcrdngs[[#This Row],[Text]],"[no speaker selected in Speakers_in_Recordings]"))</f>
        <v>Harran03</v>
      </c>
      <c r="C535" s="41" t="str" cm="1">
        <f t="array" ref="C535">_xlfn.TEXTJOIN(", ", TRUE(), _xlfn._xlws.FILTER(Sbcts_Rcrdngs[Subject],Sbcts_Rcrdngs[Recording]=Rcrdngs[[#This Row],[Text]],"[no subject selected in Subjects_in_Recordings]"))</f>
        <v>Shepherds</v>
      </c>
      <c r="D535" s="25">
        <v>45592</v>
      </c>
      <c r="E535" s="26" t="s">
        <v>1396</v>
      </c>
      <c r="F535" s="27" t="s">
        <v>861</v>
      </c>
      <c r="G535" s="27" t="s">
        <v>605</v>
      </c>
      <c r="H535" s="27"/>
      <c r="I535" s="6"/>
      <c r="J535" s="6"/>
      <c r="K535" s="6"/>
      <c r="L535" s="6"/>
      <c r="M535" s="6"/>
      <c r="N535" s="6"/>
      <c r="O535" s="27" t="s">
        <v>862</v>
      </c>
      <c r="P535" s="34"/>
      <c r="Q535" s="34" t="s">
        <v>1629</v>
      </c>
      <c r="R535" s="29"/>
    </row>
    <row r="536" spans="1:18" ht="17.25" customHeight="1">
      <c r="A536" s="35" t="s">
        <v>516</v>
      </c>
      <c r="B536" s="23" t="str" cm="1">
        <f t="array" ref="B536">_xlfn.TEXTJOIN(", ", TRUE(), _xlfn._xlws.FILTER(Spkrs_Rcrdngs[Speaker],Spkrs_Rcrdngs[Recording]=Rcrdngs[[#This Row],[Text]],"[no speaker selected in Speakers_in_Recordings]"))</f>
        <v>Harran03</v>
      </c>
      <c r="C536" s="41" t="str" cm="1">
        <f t="array" ref="C536">_xlfn.TEXTJOIN(", ", TRUE(), _xlfn._xlws.FILTER(Sbcts_Rcrdngs[Subject],Sbcts_Rcrdngs[Recording]=Rcrdngs[[#This Row],[Text]],"[no subject selected in Subjects_in_Recordings]"))</f>
        <v>Grandmother, Soldiers</v>
      </c>
      <c r="D536" s="25">
        <v>45592</v>
      </c>
      <c r="E536" s="26" t="s">
        <v>1630</v>
      </c>
      <c r="F536" s="27" t="s">
        <v>861</v>
      </c>
      <c r="G536" s="27" t="s">
        <v>605</v>
      </c>
      <c r="H536" s="27" t="s">
        <v>861</v>
      </c>
      <c r="I536" s="6" t="s">
        <v>604</v>
      </c>
      <c r="J536" s="6" t="s">
        <v>861</v>
      </c>
      <c r="K536" s="6"/>
      <c r="L536" s="6"/>
      <c r="M536" s="6"/>
      <c r="N536" s="6"/>
      <c r="O536" s="27" t="s">
        <v>862</v>
      </c>
      <c r="P536" s="34"/>
      <c r="Q536" s="34" t="s">
        <v>1631</v>
      </c>
      <c r="R536" s="29"/>
    </row>
    <row r="537" spans="1:18" ht="17.25" customHeight="1">
      <c r="A537" s="35" t="s">
        <v>517</v>
      </c>
      <c r="B537" s="23" t="str" cm="1">
        <f t="array" ref="B537">_xlfn.TEXTJOIN(", ", TRUE(), _xlfn._xlws.FILTER(Spkrs_Rcrdngs[Speaker],Spkrs_Rcrdngs[Recording]=Rcrdngs[[#This Row],[Text]],"[no speaker selected in Speakers_in_Recordings]"))</f>
        <v>Harran03</v>
      </c>
      <c r="C537" s="41" t="str" cm="1">
        <f t="array" ref="C537">_xlfn.TEXTJOIN(", ", TRUE(), _xlfn._xlws.FILTER(Sbcts_Rcrdngs[Subject],Sbcts_Rcrdngs[Recording]=Rcrdngs[[#This Row],[Text]],"[no subject selected in Subjects_in_Recordings]"))</f>
        <v>Sister</v>
      </c>
      <c r="D537" s="25">
        <v>45592</v>
      </c>
      <c r="E537" s="26" t="s">
        <v>1632</v>
      </c>
      <c r="F537" s="27" t="s">
        <v>861</v>
      </c>
      <c r="G537" s="27" t="s">
        <v>605</v>
      </c>
      <c r="H537" s="27"/>
      <c r="I537" s="6"/>
      <c r="J537" s="6"/>
      <c r="K537" s="6"/>
      <c r="L537" s="6"/>
      <c r="M537" s="6"/>
      <c r="N537" s="6"/>
      <c r="O537" s="27" t="s">
        <v>862</v>
      </c>
      <c r="P537" s="34"/>
      <c r="Q537" s="34" t="s">
        <v>1633</v>
      </c>
      <c r="R537" s="29"/>
    </row>
    <row r="538" spans="1:18" ht="17.25" customHeight="1">
      <c r="A538" s="35" t="s">
        <v>518</v>
      </c>
      <c r="B538" s="23" t="str" cm="1">
        <f t="array" ref="B538">_xlfn.TEXTJOIN(", ", TRUE(), _xlfn._xlws.FILTER(Spkrs_Rcrdngs[Speaker],Spkrs_Rcrdngs[Recording]=Rcrdngs[[#This Row],[Text]],"[no speaker selected in Speakers_in_Recordings]"))</f>
        <v>Harran23</v>
      </c>
      <c r="C538" s="41" t="str" cm="1">
        <f t="array" ref="C538">_xlfn.TEXTJOIN(", ", TRUE(), _xlfn._xlws.FILTER(Sbcts_Rcrdngs[Subject],Sbcts_Rcrdngs[Recording]=Rcrdngs[[#This Row],[Text]],"[no subject selected in Subjects_in_Recordings]"))</f>
        <v>cige</v>
      </c>
      <c r="D538" s="25">
        <v>45592</v>
      </c>
      <c r="E538" s="26" t="s">
        <v>1097</v>
      </c>
      <c r="F538" s="27" t="s">
        <v>861</v>
      </c>
      <c r="G538" s="27" t="s">
        <v>605</v>
      </c>
      <c r="H538" s="27" t="s">
        <v>861</v>
      </c>
      <c r="I538" s="6" t="s">
        <v>604</v>
      </c>
      <c r="J538" s="6" t="s">
        <v>861</v>
      </c>
      <c r="K538" s="6"/>
      <c r="L538" s="6"/>
      <c r="M538" s="6"/>
      <c r="N538" s="6"/>
      <c r="O538" s="27" t="s">
        <v>862</v>
      </c>
      <c r="P538" s="34"/>
      <c r="Q538" s="34" t="s">
        <v>1634</v>
      </c>
      <c r="R538" s="29"/>
    </row>
    <row r="539" spans="1:18" ht="17.25" customHeight="1">
      <c r="A539" s="35" t="s">
        <v>519</v>
      </c>
      <c r="B539" s="23" t="str" cm="1">
        <f t="array" ref="B539">_xlfn.TEXTJOIN(", ", TRUE(), _xlfn._xlws.FILTER(Spkrs_Rcrdngs[Speaker],Spkrs_Rcrdngs[Recording]=Rcrdngs[[#This Row],[Text]],"[no speaker selected in Speakers_in_Recordings]"))</f>
        <v>Harran23</v>
      </c>
      <c r="C539" s="41" t="str" cm="1">
        <f t="array" ref="C539">_xlfn.TEXTJOIN(", ", TRUE(), _xlfn._xlws.FILTER(Sbcts_Rcrdngs[Subject],Sbcts_Rcrdngs[Recording]=Rcrdngs[[#This Row],[Text]],"[no subject selected in Subjects_in_Recordings]"))</f>
        <v>Besh Tash Game</v>
      </c>
      <c r="D539" s="25">
        <v>45592</v>
      </c>
      <c r="E539" s="26" t="s">
        <v>708</v>
      </c>
      <c r="F539" s="27" t="s">
        <v>861</v>
      </c>
      <c r="G539" s="27" t="s">
        <v>605</v>
      </c>
      <c r="H539" s="27" t="s">
        <v>861</v>
      </c>
      <c r="I539" s="6" t="s">
        <v>604</v>
      </c>
      <c r="J539" s="6" t="s">
        <v>861</v>
      </c>
      <c r="K539" s="6"/>
      <c r="L539" s="6"/>
      <c r="M539" s="6"/>
      <c r="N539" s="6"/>
      <c r="O539" s="27" t="s">
        <v>862</v>
      </c>
      <c r="P539" s="34"/>
      <c r="Q539" s="34" t="s">
        <v>1635</v>
      </c>
      <c r="R539" s="29"/>
    </row>
    <row r="540" spans="1:18" ht="17.25" customHeight="1">
      <c r="A540" s="35" t="s">
        <v>520</v>
      </c>
      <c r="B540" s="23" t="str" cm="1">
        <f t="array" ref="B540">_xlfn.TEXTJOIN(", ", TRUE(), _xlfn._xlws.FILTER(Spkrs_Rcrdngs[Speaker],Spkrs_Rcrdngs[Recording]=Rcrdngs[[#This Row],[Text]],"[no speaker selected in Speakers_in_Recordings]"))</f>
        <v>Harran04, Harran02, Harran06</v>
      </c>
      <c r="C540" s="41" t="str" cm="1">
        <f t="array" ref="C540">_xlfn.TEXTJOIN(", ", TRUE(), _xlfn._xlws.FILTER(Sbcts_Rcrdngs[Subject],Sbcts_Rcrdngs[Recording]=Rcrdngs[[#This Row],[Text]],"[no subject selected in Subjects_in_Recordings]"))</f>
        <v>Man with Jews</v>
      </c>
      <c r="D540" s="25">
        <v>45655</v>
      </c>
      <c r="E540" s="26" t="s">
        <v>1028</v>
      </c>
      <c r="F540" s="27" t="s">
        <v>1202</v>
      </c>
      <c r="G540" s="27" t="s">
        <v>605</v>
      </c>
      <c r="H540" s="27"/>
      <c r="I540" s="6"/>
      <c r="J540" s="6"/>
      <c r="K540" s="6"/>
      <c r="L540" s="6"/>
      <c r="M540" s="6"/>
      <c r="N540" s="6"/>
      <c r="O540" s="27" t="s">
        <v>862</v>
      </c>
      <c r="P540" s="34"/>
      <c r="Q540" s="34" t="s">
        <v>1636</v>
      </c>
      <c r="R540" s="29"/>
    </row>
    <row r="541" spans="1:18" ht="17.25" customHeight="1">
      <c r="A541" s="35" t="s">
        <v>521</v>
      </c>
      <c r="B541" s="23" t="str" cm="1">
        <f t="array" ref="B541">_xlfn.TEXTJOIN(", ", TRUE(), _xlfn._xlws.FILTER(Spkrs_Rcrdngs[Speaker],Spkrs_Rcrdngs[Recording]=Rcrdngs[[#This Row],[Text]],"[no speaker selected in Speakers_in_Recordings]"))</f>
        <v>Harran06</v>
      </c>
      <c r="C541" s="41" t="str" cm="1">
        <f t="array" ref="C541">_xlfn.TEXTJOIN(", ", TRUE(), _xlfn._xlws.FILTER(Sbcts_Rcrdngs[Subject],Sbcts_Rcrdngs[Recording]=Rcrdngs[[#This Row],[Text]],"[no subject selected in Subjects_in_Recordings]"))</f>
        <v>Man with Camels</v>
      </c>
      <c r="D541" s="25">
        <v>45655</v>
      </c>
      <c r="E541" s="26" t="s">
        <v>702</v>
      </c>
      <c r="F541" s="27" t="s">
        <v>1202</v>
      </c>
      <c r="G541" s="27" t="s">
        <v>605</v>
      </c>
      <c r="H541" s="27"/>
      <c r="I541" s="6"/>
      <c r="J541" s="6"/>
      <c r="K541" s="6"/>
      <c r="L541" s="6"/>
      <c r="M541" s="6"/>
      <c r="N541" s="6"/>
      <c r="O541" s="27" t="s">
        <v>862</v>
      </c>
      <c r="P541" s="34"/>
      <c r="Q541" s="34" t="s">
        <v>1637</v>
      </c>
      <c r="R541" s="29"/>
    </row>
    <row r="542" spans="1:18" ht="17.25" customHeight="1">
      <c r="A542" s="35" t="s">
        <v>522</v>
      </c>
      <c r="B542" s="23" t="str" cm="1">
        <f t="array" ref="B542">_xlfn.TEXTJOIN(", ", TRUE(), _xlfn._xlws.FILTER(Spkrs_Rcrdngs[Speaker],Spkrs_Rcrdngs[Recording]=Rcrdngs[[#This Row],[Text]],"[no speaker selected in Speakers_in_Recordings]"))</f>
        <v>Harran04</v>
      </c>
      <c r="C542" s="41" t="str" cm="1">
        <f t="array" ref="C542">_xlfn.TEXTJOIN(", ", TRUE(), _xlfn._xlws.FILTER(Sbcts_Rcrdngs[Subject],Sbcts_Rcrdngs[Recording]=Rcrdngs[[#This Row],[Text]],"[no subject selected in Subjects_in_Recordings]"))</f>
        <v>Being Proud</v>
      </c>
      <c r="D542" s="25">
        <v>45692</v>
      </c>
      <c r="E542" s="26" t="s">
        <v>1638</v>
      </c>
      <c r="F542" s="27" t="s">
        <v>1202</v>
      </c>
      <c r="G542" s="27" t="s">
        <v>605</v>
      </c>
      <c r="H542" s="27"/>
      <c r="I542" s="6"/>
      <c r="J542" s="6"/>
      <c r="K542" s="6"/>
      <c r="L542" s="6"/>
      <c r="M542" s="6"/>
      <c r="N542" s="6"/>
      <c r="O542" s="27" t="s">
        <v>862</v>
      </c>
      <c r="P542" s="34"/>
      <c r="Q542" s="34" t="s">
        <v>1639</v>
      </c>
      <c r="R542" s="29"/>
    </row>
    <row r="543" spans="1:18" ht="17.25" customHeight="1">
      <c r="A543" s="35" t="s">
        <v>523</v>
      </c>
      <c r="B543" s="23" t="str" cm="1">
        <f t="array" ref="B543">_xlfn.TEXTJOIN(", ", TRUE(), _xlfn._xlws.FILTER(Spkrs_Rcrdngs[Speaker],Spkrs_Rcrdngs[Recording]=Rcrdngs[[#This Row],[Text]],"[no speaker selected in Speakers_in_Recordings]"))</f>
        <v>Harran04</v>
      </c>
      <c r="C543" s="41" t="str" cm="1">
        <f t="array" ref="C543">_xlfn.TEXTJOIN(", ", TRUE(), _xlfn._xlws.FILTER(Sbcts_Rcrdngs[Subject],Sbcts_Rcrdngs[Recording]=Rcrdngs[[#This Row],[Text]],"[no subject selected in Subjects_in_Recordings]"))</f>
        <v>Money, Manners</v>
      </c>
      <c r="D543" s="25">
        <v>45692</v>
      </c>
      <c r="E543" s="26" t="s">
        <v>1177</v>
      </c>
      <c r="F543" s="27" t="s">
        <v>1202</v>
      </c>
      <c r="G543" s="27" t="s">
        <v>605</v>
      </c>
      <c r="H543" s="27"/>
      <c r="I543" s="6"/>
      <c r="J543" s="6"/>
      <c r="K543" s="6"/>
      <c r="L543" s="6"/>
      <c r="M543" s="6"/>
      <c r="N543" s="6"/>
      <c r="O543" s="27" t="s">
        <v>862</v>
      </c>
      <c r="P543" s="34"/>
      <c r="Q543" s="34" t="s">
        <v>1640</v>
      </c>
      <c r="R543" s="29"/>
    </row>
    <row r="544" spans="1:18" ht="17.25" customHeight="1">
      <c r="A544" s="35" t="s">
        <v>524</v>
      </c>
      <c r="B544" s="23" t="str" cm="1">
        <f t="array" ref="B544">_xlfn.TEXTJOIN(", ", TRUE(), _xlfn._xlws.FILTER(Spkrs_Rcrdngs[Speaker],Spkrs_Rcrdngs[Recording]=Rcrdngs[[#This Row],[Text]],"[no speaker selected in Speakers_in_Recordings]"))</f>
        <v>Harran04, Harran03</v>
      </c>
      <c r="C544" s="41" t="str" cm="1">
        <f t="array" ref="C544">_xlfn.TEXTJOIN(", ", TRUE(), _xlfn._xlws.FILTER(Sbcts_Rcrdngs[Subject],Sbcts_Rcrdngs[Recording]=Rcrdngs[[#This Row],[Text]],"[no subject selected in Subjects_in_Recordings]"))</f>
        <v>Sick Kid</v>
      </c>
      <c r="D544" s="25">
        <v>45693</v>
      </c>
      <c r="E544" s="26" t="s">
        <v>1641</v>
      </c>
      <c r="F544" s="27" t="s">
        <v>1202</v>
      </c>
      <c r="G544" s="27" t="s">
        <v>605</v>
      </c>
      <c r="H544" s="27"/>
      <c r="I544" s="6"/>
      <c r="J544" s="6"/>
      <c r="K544" s="6"/>
      <c r="L544" s="6"/>
      <c r="M544" s="6"/>
      <c r="N544" s="6"/>
      <c r="O544" s="27" t="s">
        <v>862</v>
      </c>
      <c r="P544" s="34"/>
      <c r="Q544" s="34" t="s">
        <v>1642</v>
      </c>
      <c r="R544" s="29"/>
    </row>
    <row r="545" spans="1:18" ht="17.25" customHeight="1">
      <c r="A545" s="35" t="s">
        <v>525</v>
      </c>
      <c r="B545" s="23" t="str" cm="1">
        <f t="array" ref="B545">_xlfn.TEXTJOIN(", ", TRUE(), _xlfn._xlws.FILTER(Spkrs_Rcrdngs[Speaker],Spkrs_Rcrdngs[Recording]=Rcrdngs[[#This Row],[Text]],"[no speaker selected in Speakers_in_Recordings]"))</f>
        <v>Harran04, Harran03</v>
      </c>
      <c r="C545" s="41" t="str" cm="1">
        <f t="array" ref="C545">_xlfn.TEXTJOIN(", ", TRUE(), _xlfn._xlws.FILTER(Sbcts_Rcrdngs[Subject],Sbcts_Rcrdngs[Recording]=Rcrdngs[[#This Row],[Text]],"[no subject selected in Subjects_in_Recordings]"))</f>
        <v>People, Money</v>
      </c>
      <c r="D545" s="25">
        <v>45693</v>
      </c>
      <c r="E545" s="26" t="s">
        <v>1643</v>
      </c>
      <c r="F545" s="27" t="s">
        <v>1202</v>
      </c>
      <c r="G545" s="27" t="s">
        <v>605</v>
      </c>
      <c r="H545" s="27"/>
      <c r="I545" s="6"/>
      <c r="J545" s="6"/>
      <c r="K545" s="6"/>
      <c r="L545" s="6"/>
      <c r="M545" s="6"/>
      <c r="N545" s="6"/>
      <c r="O545" s="27" t="s">
        <v>862</v>
      </c>
      <c r="P545" s="34"/>
      <c r="Q545" s="34" t="s">
        <v>1644</v>
      </c>
      <c r="R545" s="29"/>
    </row>
    <row r="546" spans="1:18" ht="17.25" customHeight="1">
      <c r="A546" s="35" t="s">
        <v>526</v>
      </c>
      <c r="B546" s="23" t="str" cm="1">
        <f t="array" ref="B546">_xlfn.TEXTJOIN(", ", TRUE(), _xlfn._xlws.FILTER(Spkrs_Rcrdngs[Speaker],Spkrs_Rcrdngs[Recording]=Rcrdngs[[#This Row],[Text]],"[no speaker selected in Speakers_in_Recordings]"))</f>
        <v>Harran04, Harran03</v>
      </c>
      <c r="C546" s="41" t="str" cm="1">
        <f t="array" ref="C546">_xlfn.TEXTJOIN(", ", TRUE(), _xlfn._xlws.FILTER(Sbcts_Rcrdngs[Subject],Sbcts_Rcrdngs[Recording]=Rcrdngs[[#This Row],[Text]],"[no subject selected in Subjects_in_Recordings]"))</f>
        <v>Sednaya Prison, God's Wisdom, Medicines</v>
      </c>
      <c r="D546" s="25">
        <v>45693</v>
      </c>
      <c r="E546" s="26" t="s">
        <v>1645</v>
      </c>
      <c r="F546" s="27" t="s">
        <v>1202</v>
      </c>
      <c r="G546" s="27" t="s">
        <v>605</v>
      </c>
      <c r="H546" s="27"/>
      <c r="I546" s="6"/>
      <c r="J546" s="6"/>
      <c r="K546" s="6"/>
      <c r="L546" s="6"/>
      <c r="M546" s="6"/>
      <c r="N546" s="6"/>
      <c r="O546" s="27" t="s">
        <v>862</v>
      </c>
      <c r="P546" s="34"/>
      <c r="Q546" s="34" t="s">
        <v>1646</v>
      </c>
      <c r="R546" s="29"/>
    </row>
    <row r="547" spans="1:18" ht="17.25" customHeight="1">
      <c r="A547" s="35" t="s">
        <v>527</v>
      </c>
      <c r="B547" s="23" t="str" cm="1">
        <f t="array" ref="B547">_xlfn.TEXTJOIN(", ", TRUE(), _xlfn._xlws.FILTER(Spkrs_Rcrdngs[Speaker],Spkrs_Rcrdngs[Recording]=Rcrdngs[[#This Row],[Text]],"[no speaker selected in Speakers_in_Recordings]"))</f>
        <v>Harran04, Harran02</v>
      </c>
      <c r="C547" s="41" t="str" cm="1">
        <f t="array" ref="C547">_xlfn.TEXTJOIN(", ", TRUE(), _xlfn._xlws.FILTER(Sbcts_Rcrdngs[Subject],Sbcts_Rcrdngs[Recording]=Rcrdngs[[#This Row],[Text]],"[no subject selected in Subjects_in_Recordings]"))</f>
        <v>Groundfield</v>
      </c>
      <c r="D547" s="25">
        <v>45693</v>
      </c>
      <c r="E547" s="26" t="s">
        <v>1647</v>
      </c>
      <c r="F547" s="27" t="s">
        <v>1202</v>
      </c>
      <c r="G547" s="27" t="s">
        <v>605</v>
      </c>
      <c r="H547" s="27"/>
      <c r="I547" s="6"/>
      <c r="J547" s="6"/>
      <c r="K547" s="6"/>
      <c r="L547" s="6"/>
      <c r="M547" s="6"/>
      <c r="N547" s="6"/>
      <c r="O547" s="27" t="s">
        <v>862</v>
      </c>
      <c r="P547" s="34"/>
      <c r="Q547" s="34" t="s">
        <v>1648</v>
      </c>
      <c r="R547" s="29"/>
    </row>
    <row r="548" spans="1:18" ht="17.25" customHeight="1">
      <c r="A548" s="35" t="s">
        <v>528</v>
      </c>
      <c r="B548" s="23" t="str" cm="1">
        <f t="array" ref="B548">_xlfn.TEXTJOIN(", ", TRUE(), _xlfn._xlws.FILTER(Spkrs_Rcrdngs[Speaker],Spkrs_Rcrdngs[Recording]=Rcrdngs[[#This Row],[Text]],"[no speaker selected in Speakers_in_Recordings]"))</f>
        <v>Harran04, Harran02</v>
      </c>
      <c r="C548" s="41" t="str" cm="1">
        <f t="array" ref="C548">_xlfn.TEXTJOIN(", ", TRUE(), _xlfn._xlws.FILTER(Sbcts_Rcrdngs[Subject],Sbcts_Rcrdngs[Recording]=Rcrdngs[[#This Row],[Text]],"[no subject selected in Subjects_in_Recordings]"))</f>
        <v>Man Taking Money</v>
      </c>
      <c r="D548" s="25">
        <v>45693</v>
      </c>
      <c r="E548" s="26" t="s">
        <v>1417</v>
      </c>
      <c r="F548" s="27" t="s">
        <v>1202</v>
      </c>
      <c r="G548" s="27" t="s">
        <v>605</v>
      </c>
      <c r="H548" s="27"/>
      <c r="I548" s="6"/>
      <c r="J548" s="6"/>
      <c r="K548" s="6"/>
      <c r="L548" s="6"/>
      <c r="M548" s="6"/>
      <c r="N548" s="6"/>
      <c r="O548" s="27" t="s">
        <v>862</v>
      </c>
      <c r="P548" s="34"/>
      <c r="Q548" s="34" t="s">
        <v>1649</v>
      </c>
      <c r="R548" s="29"/>
    </row>
    <row r="549" spans="1:18" ht="17.25" customHeight="1">
      <c r="A549" s="35" t="s">
        <v>529</v>
      </c>
      <c r="B549" s="23" t="str" cm="1">
        <f t="array" ref="B549">_xlfn.TEXTJOIN(", ", TRUE(), _xlfn._xlws.FILTER(Spkrs_Rcrdngs[Speaker],Spkrs_Rcrdngs[Recording]=Rcrdngs[[#This Row],[Text]],"[no speaker selected in Speakers_in_Recordings]"))</f>
        <v>Harran04, Harran02</v>
      </c>
      <c r="C549" s="41" t="str" cm="1">
        <f t="array" ref="C549">_xlfn.TEXTJOIN(", ", TRUE(), _xlfn._xlws.FILTER(Sbcts_Rcrdngs[Subject],Sbcts_Rcrdngs[Recording]=Rcrdngs[[#This Row],[Text]],"[no subject selected in Subjects_in_Recordings]"))</f>
        <v>Ungrateful Man</v>
      </c>
      <c r="D549" s="25">
        <v>45740</v>
      </c>
      <c r="E549" s="26" t="s">
        <v>1650</v>
      </c>
      <c r="F549" s="27" t="s">
        <v>1202</v>
      </c>
      <c r="G549" s="27" t="s">
        <v>605</v>
      </c>
      <c r="H549" s="27"/>
      <c r="I549" s="6"/>
      <c r="J549" s="6"/>
      <c r="K549" s="6"/>
      <c r="L549" s="6"/>
      <c r="M549" s="6"/>
      <c r="N549" s="6"/>
      <c r="O549" s="27" t="s">
        <v>862</v>
      </c>
      <c r="P549" s="34"/>
      <c r="Q549" s="34" t="s">
        <v>1651</v>
      </c>
      <c r="R549" s="29"/>
    </row>
    <row r="550" spans="1:18" ht="17.25" customHeight="1">
      <c r="A550" s="35" t="s">
        <v>530</v>
      </c>
      <c r="B550" s="23" t="str" cm="1">
        <f t="array" ref="B550">_xlfn.TEXTJOIN(", ", TRUE(), _xlfn._xlws.FILTER(Spkrs_Rcrdngs[Speaker],Spkrs_Rcrdngs[Recording]=Rcrdngs[[#This Row],[Text]],"[no speaker selected in Speakers_in_Recordings]"))</f>
        <v>Harran04, Harran03, Harran02</v>
      </c>
      <c r="C550" s="41" t="str" cm="1">
        <f t="array" ref="C550">_xlfn.TEXTJOIN(", ", TRUE(), _xlfn._xlws.FILTER(Sbcts_Rcrdngs[Subject],Sbcts_Rcrdngs[Recording]=Rcrdngs[[#This Row],[Text]],"[no subject selected in Subjects_in_Recordings]"))</f>
        <v>Bad Woman</v>
      </c>
      <c r="D550" s="25">
        <v>45768</v>
      </c>
      <c r="E550" s="26" t="s">
        <v>1300</v>
      </c>
      <c r="F550" s="27" t="s">
        <v>1202</v>
      </c>
      <c r="G550" s="27" t="s">
        <v>605</v>
      </c>
      <c r="H550" s="27"/>
      <c r="I550" s="6"/>
      <c r="J550" s="6"/>
      <c r="K550" s="6"/>
      <c r="L550" s="6"/>
      <c r="M550" s="6"/>
      <c r="N550" s="6"/>
      <c r="O550" s="27" t="s">
        <v>862</v>
      </c>
      <c r="P550" s="34"/>
      <c r="Q550" s="34" t="s">
        <v>1652</v>
      </c>
      <c r="R550" s="29"/>
    </row>
    <row r="551" spans="1:18" ht="17.25" customHeight="1">
      <c r="A551" s="35" t="s">
        <v>531</v>
      </c>
      <c r="B551" s="23" t="str" cm="1">
        <f t="array" ref="B551">_xlfn.TEXTJOIN(", ", TRUE(), _xlfn._xlws.FILTER(Spkrs_Rcrdngs[Speaker],Spkrs_Rcrdngs[Recording]=Rcrdngs[[#This Row],[Text]],"[no speaker selected in Speakers_in_Recordings]"))</f>
        <v>Harran04, Harran03, Harran02</v>
      </c>
      <c r="C551" s="41" t="str" cm="1">
        <f t="array" ref="C551">_xlfn.TEXTJOIN(", ", TRUE(), _xlfn._xlws.FILTER(Sbcts_Rcrdngs[Subject],Sbcts_Rcrdngs[Recording]=Rcrdngs[[#This Row],[Text]],"[no subject selected in Subjects_in_Recordings]"))</f>
        <v>Former Times</v>
      </c>
      <c r="D551" s="25">
        <v>45770</v>
      </c>
      <c r="E551" s="26" t="s">
        <v>1653</v>
      </c>
      <c r="F551" s="27" t="s">
        <v>1202</v>
      </c>
      <c r="G551" s="27" t="s">
        <v>605</v>
      </c>
      <c r="H551" s="27"/>
      <c r="I551" s="6"/>
      <c r="J551" s="6"/>
      <c r="K551" s="6"/>
      <c r="L551" s="6"/>
      <c r="M551" s="6"/>
      <c r="N551" s="6"/>
      <c r="O551" s="27" t="s">
        <v>862</v>
      </c>
      <c r="P551" s="34"/>
      <c r="Q551" s="34" t="s">
        <v>1654</v>
      </c>
      <c r="R551" s="29"/>
    </row>
    <row r="552" spans="1:18" ht="17.25" customHeight="1">
      <c r="A552" s="35" t="s">
        <v>532</v>
      </c>
      <c r="B552" s="23" t="str" cm="1">
        <f t="array" ref="B552">_xlfn.TEXTJOIN(", ", TRUE(), _xlfn._xlws.FILTER(Spkrs_Rcrdngs[Speaker],Spkrs_Rcrdngs[Recording]=Rcrdngs[[#This Row],[Text]],"[no speaker selected in Speakers_in_Recordings]"))</f>
        <v>Harran04, Harran03</v>
      </c>
      <c r="C552" s="41" t="str" cm="1">
        <f t="array" ref="C552">_xlfn.TEXTJOIN(", ", TRUE(), _xlfn._xlws.FILTER(Sbcts_Rcrdngs[Subject],Sbcts_Rcrdngs[Recording]=Rcrdngs[[#This Row],[Text]],"[no subject selected in Subjects_in_Recordings]"))</f>
        <v>Mouse in the Ghee Canister</v>
      </c>
      <c r="D552" s="25">
        <v>45770</v>
      </c>
      <c r="E552" s="26" t="s">
        <v>1655</v>
      </c>
      <c r="F552" s="27" t="s">
        <v>1202</v>
      </c>
      <c r="G552" s="27" t="s">
        <v>605</v>
      </c>
      <c r="H552" s="27"/>
      <c r="I552" s="6"/>
      <c r="J552" s="6"/>
      <c r="K552" s="6"/>
      <c r="L552" s="6"/>
      <c r="M552" s="6"/>
      <c r="N552" s="6"/>
      <c r="O552" s="27" t="s">
        <v>862</v>
      </c>
      <c r="P552" s="34"/>
      <c r="Q552" s="34" t="s">
        <v>1656</v>
      </c>
      <c r="R552" s="29"/>
    </row>
    <row r="553" spans="1:18" ht="17.25" customHeight="1">
      <c r="A553" s="35" t="s">
        <v>533</v>
      </c>
      <c r="B553" s="23" t="str" cm="1">
        <f t="array" ref="B553">_xlfn.TEXTJOIN(", ", TRUE(), _xlfn._xlws.FILTER(Spkrs_Rcrdngs[Speaker],Spkrs_Rcrdngs[Recording]=Rcrdngs[[#This Row],[Text]],"[no speaker selected in Speakers_in_Recordings]"))</f>
        <v>Harran04, Harran03, Harran02</v>
      </c>
      <c r="C553" s="41" t="str" cm="1">
        <f t="array" ref="C553">_xlfn.TEXTJOIN(", ", TRUE(), _xlfn._xlws.FILTER(Sbcts_Rcrdngs[Subject],Sbcts_Rcrdngs[Recording]=Rcrdngs[[#This Row],[Text]],"[no subject selected in Subjects_in_Recordings]"))</f>
        <v>Grandparents</v>
      </c>
      <c r="D553" s="25">
        <v>45770</v>
      </c>
      <c r="E553" s="26" t="s">
        <v>1657</v>
      </c>
      <c r="F553" s="27" t="s">
        <v>1202</v>
      </c>
      <c r="G553" s="27" t="s">
        <v>605</v>
      </c>
      <c r="H553" s="27"/>
      <c r="I553" s="6"/>
      <c r="J553" s="6"/>
      <c r="K553" s="6"/>
      <c r="L553" s="6"/>
      <c r="M553" s="6"/>
      <c r="N553" s="6"/>
      <c r="O553" s="27" t="s">
        <v>862</v>
      </c>
      <c r="P553" s="34"/>
      <c r="Q553" s="34" t="s">
        <v>1658</v>
      </c>
      <c r="R553" s="29"/>
    </row>
    <row r="554" spans="1:18" ht="17.25" customHeight="1">
      <c r="A554" s="35" t="s">
        <v>534</v>
      </c>
      <c r="B554" s="23" t="str" cm="1">
        <f t="array" ref="B554">_xlfn.TEXTJOIN(", ", TRUE(), _xlfn._xlws.FILTER(Spkrs_Rcrdngs[Speaker],Spkrs_Rcrdngs[Recording]=Rcrdngs[[#This Row],[Text]],"[no speaker selected in Speakers_in_Recordings]"))</f>
        <v>Harran04, Harran03, Harran02</v>
      </c>
      <c r="C554" s="41" t="str" cm="1">
        <f t="array" ref="C554">_xlfn.TEXTJOIN(", ", TRUE(), _xlfn._xlws.FILTER(Sbcts_Rcrdngs[Subject],Sbcts_Rcrdngs[Recording]=Rcrdngs[[#This Row],[Text]],"[no subject selected in Subjects_in_Recordings]"))</f>
        <v>Former Times</v>
      </c>
      <c r="D554" s="25">
        <v>45770</v>
      </c>
      <c r="E554" s="26" t="s">
        <v>1659</v>
      </c>
      <c r="F554" s="27" t="s">
        <v>1202</v>
      </c>
      <c r="G554" s="27" t="s">
        <v>605</v>
      </c>
      <c r="H554" s="27"/>
      <c r="I554" s="6"/>
      <c r="J554" s="6"/>
      <c r="K554" s="6"/>
      <c r="L554" s="6"/>
      <c r="M554" s="6"/>
      <c r="N554" s="6"/>
      <c r="O554" s="27" t="s">
        <v>862</v>
      </c>
      <c r="P554" s="34"/>
      <c r="Q554" s="34" t="s">
        <v>1660</v>
      </c>
      <c r="R554" s="29"/>
    </row>
    <row r="555" spans="1:18" ht="17.25" customHeight="1">
      <c r="A555" s="35" t="s">
        <v>535</v>
      </c>
      <c r="B555" s="23" t="str" cm="1">
        <f t="array" ref="B555">_xlfn.TEXTJOIN(", ", TRUE(), _xlfn._xlws.FILTER(Spkrs_Rcrdngs[Speaker],Spkrs_Rcrdngs[Recording]=Rcrdngs[[#This Row],[Text]],"[no speaker selected in Speakers_in_Recordings]"))</f>
        <v>Harran04, Harran03</v>
      </c>
      <c r="C555" s="41" t="str" cm="1">
        <f t="array" ref="C555">_xlfn.TEXTJOIN(", ", TRUE(), _xlfn._xlws.FILTER(Sbcts_Rcrdngs[Subject],Sbcts_Rcrdngs[Recording]=Rcrdngs[[#This Row],[Text]],"[no subject selected in Subjects_in_Recordings]"))</f>
        <v>Women</v>
      </c>
      <c r="D555" s="25">
        <v>45770</v>
      </c>
      <c r="E555" s="26" t="s">
        <v>619</v>
      </c>
      <c r="F555" s="27" t="s">
        <v>1202</v>
      </c>
      <c r="G555" s="27" t="s">
        <v>605</v>
      </c>
      <c r="H555" s="27"/>
      <c r="I555" s="6"/>
      <c r="J555" s="6"/>
      <c r="K555" s="6"/>
      <c r="L555" s="6"/>
      <c r="M555" s="6"/>
      <c r="N555" s="6"/>
      <c r="O555" s="27" t="s">
        <v>862</v>
      </c>
      <c r="P555" s="34"/>
      <c r="Q555" s="34" t="s">
        <v>1661</v>
      </c>
      <c r="R555" s="29"/>
    </row>
    <row r="556" spans="1:18" ht="17.25" customHeight="1">
      <c r="A556" s="35" t="s">
        <v>536</v>
      </c>
      <c r="B556" s="23" t="str" cm="1">
        <f t="array" ref="B556">_xlfn.TEXTJOIN(", ", TRUE(), _xlfn._xlws.FILTER(Spkrs_Rcrdngs[Speaker],Spkrs_Rcrdngs[Recording]=Rcrdngs[[#This Row],[Text]],"[no speaker selected in Speakers_in_Recordings]"))</f>
        <v>Harran04, Harran03</v>
      </c>
      <c r="C556" s="41" t="str" cm="1">
        <f t="array" ref="C556">_xlfn.TEXTJOIN(", ", TRUE(), _xlfn._xlws.FILTER(Sbcts_Rcrdngs[Subject],Sbcts_Rcrdngs[Recording]=Rcrdngs[[#This Row],[Text]],"[no subject selected in Subjects_in_Recordings]"))</f>
        <v>Husband's Second Wife</v>
      </c>
      <c r="D556" s="25">
        <v>45770</v>
      </c>
      <c r="E556" s="26" t="s">
        <v>1593</v>
      </c>
      <c r="F556" s="27" t="s">
        <v>1202</v>
      </c>
      <c r="G556" s="27" t="s">
        <v>605</v>
      </c>
      <c r="H556" s="27"/>
      <c r="I556" s="6"/>
      <c r="J556" s="6"/>
      <c r="K556" s="6"/>
      <c r="L556" s="6"/>
      <c r="M556" s="6"/>
      <c r="N556" s="6"/>
      <c r="O556" s="27" t="s">
        <v>862</v>
      </c>
      <c r="P556" s="34"/>
      <c r="Q556" s="34" t="s">
        <v>1662</v>
      </c>
      <c r="R556" s="29"/>
    </row>
    <row r="557" spans="1:18" ht="17.25" customHeight="1">
      <c r="A557" s="35" t="s">
        <v>537</v>
      </c>
      <c r="B557" s="23" t="str" cm="1">
        <f t="array" ref="B557">_xlfn.TEXTJOIN(", ", TRUE(), _xlfn._xlws.FILTER(Spkrs_Rcrdngs[Speaker],Spkrs_Rcrdngs[Recording]=Rcrdngs[[#This Row],[Text]],"[no speaker selected in Speakers_in_Recordings]"))</f>
        <v>Harran04, Yusufkoyu01</v>
      </c>
      <c r="C557" s="41" t="str" cm="1">
        <f t="array" ref="C557">_xlfn.TEXTJOIN(", ", TRUE(), _xlfn._xlws.FILTER(Sbcts_Rcrdngs[Subject],Sbcts_Rcrdngs[Recording]=Rcrdngs[[#This Row],[Text]],"[no subject selected in Subjects_in_Recordings]"))</f>
        <v>A Mother with 3 Daughters</v>
      </c>
      <c r="D557" s="25">
        <v>45771</v>
      </c>
      <c r="E557" s="26" t="s">
        <v>941</v>
      </c>
      <c r="F557" s="27" t="s">
        <v>1202</v>
      </c>
      <c r="G557" s="27" t="s">
        <v>605</v>
      </c>
      <c r="H557" s="27"/>
      <c r="I557" s="6"/>
      <c r="J557" s="6"/>
      <c r="K557" s="6"/>
      <c r="L557" s="6"/>
      <c r="M557" s="6"/>
      <c r="N557" s="6"/>
      <c r="O557" s="27" t="s">
        <v>862</v>
      </c>
      <c r="P557" s="34"/>
      <c r="Q557" s="34" t="s">
        <v>1663</v>
      </c>
      <c r="R557" s="29"/>
    </row>
    <row r="558" spans="1:18" ht="17.25" customHeight="1">
      <c r="A558" s="35" t="s">
        <v>538</v>
      </c>
      <c r="B558" s="23" t="str" cm="1">
        <f t="array" ref="B558">_xlfn.TEXTJOIN(", ", TRUE(), _xlfn._xlws.FILTER(Spkrs_Rcrdngs[Speaker],Spkrs_Rcrdngs[Recording]=Rcrdngs[[#This Row],[Text]],"[no speaker selected in Speakers_in_Recordings]"))</f>
        <v>Harran04, Yusufkoyu01, Harran02</v>
      </c>
      <c r="C558" s="41" t="str" cm="1">
        <f t="array" ref="C558">_xlfn.TEXTJOIN(", ", TRUE(), _xlfn._xlws.FILTER(Sbcts_Rcrdngs[Subject],Sbcts_Rcrdngs[Recording]=Rcrdngs[[#This Row],[Text]],"[no subject selected in Subjects_in_Recordings]"))</f>
        <v>Sick Man, Children</v>
      </c>
      <c r="D558" s="25">
        <v>45771</v>
      </c>
      <c r="E558" s="26" t="s">
        <v>1664</v>
      </c>
      <c r="F558" s="27" t="s">
        <v>1202</v>
      </c>
      <c r="G558" s="27" t="s">
        <v>605</v>
      </c>
      <c r="H558" s="27"/>
      <c r="I558" s="6"/>
      <c r="J558" s="6"/>
      <c r="K558" s="6"/>
      <c r="L558" s="6"/>
      <c r="M558" s="6"/>
      <c r="N558" s="6"/>
      <c r="O558" s="27" t="s">
        <v>862</v>
      </c>
      <c r="P558" s="34"/>
      <c r="Q558" s="34" t="s">
        <v>1665</v>
      </c>
      <c r="R558" s="29"/>
    </row>
    <row r="559" spans="1:18" ht="17.25" customHeight="1">
      <c r="A559" s="35" t="s">
        <v>539</v>
      </c>
      <c r="B559" s="23" t="str" cm="1">
        <f t="array" ref="B559">_xlfn.TEXTJOIN(", ", TRUE(), _xlfn._xlws.FILTER(Spkrs_Rcrdngs[Speaker],Spkrs_Rcrdngs[Recording]=Rcrdngs[[#This Row],[Text]],"[no speaker selected in Speakers_in_Recordings]"))</f>
        <v>Harran04, Harran02, Yusufkoyu01</v>
      </c>
      <c r="C559" s="41" t="str" cm="1">
        <f t="array" ref="C559">_xlfn.TEXTJOIN(", ", TRUE(), _xlfn._xlws.FILTER(Sbcts_Rcrdngs[Subject],Sbcts_Rcrdngs[Recording]=Rcrdngs[[#This Row],[Text]],"[no subject selected in Subjects_in_Recordings]"))</f>
        <v>Former Times</v>
      </c>
      <c r="D559" s="25">
        <v>45771</v>
      </c>
      <c r="E559" s="26" t="s">
        <v>1666</v>
      </c>
      <c r="F559" s="27" t="s">
        <v>1202</v>
      </c>
      <c r="G559" s="27" t="s">
        <v>605</v>
      </c>
      <c r="H559" s="27"/>
      <c r="I559" s="6"/>
      <c r="J559" s="6"/>
      <c r="K559" s="6"/>
      <c r="L559" s="6"/>
      <c r="M559" s="6"/>
      <c r="N559" s="6"/>
      <c r="O559" s="27" t="s">
        <v>862</v>
      </c>
      <c r="P559" s="34"/>
      <c r="Q559" s="34" t="s">
        <v>1667</v>
      </c>
      <c r="R559" s="29"/>
    </row>
    <row r="560" spans="1:18" ht="17.25" customHeight="1">
      <c r="A560" s="35" t="s">
        <v>540</v>
      </c>
      <c r="B560" s="23" t="str" cm="1">
        <f t="array" ref="B560">_xlfn.TEXTJOIN(", ", TRUE(), _xlfn._xlws.FILTER(Spkrs_Rcrdngs[Speaker],Spkrs_Rcrdngs[Recording]=Rcrdngs[[#This Row],[Text]],"[no speaker selected in Speakers_in_Recordings]"))</f>
        <v>Harran04, Yusufkoyu01, Harran02</v>
      </c>
      <c r="C560" s="41" t="str" cm="1">
        <f t="array" ref="C560">_xlfn.TEXTJOIN(", ", TRUE(), _xlfn._xlws.FILTER(Sbcts_Rcrdngs[Subject],Sbcts_Rcrdngs[Recording]=Rcrdngs[[#This Row],[Text]],"[no subject selected in Subjects_in_Recordings]"))</f>
        <v>Life in former Times</v>
      </c>
      <c r="D560" s="25">
        <v>45771</v>
      </c>
      <c r="E560" s="26" t="s">
        <v>1464</v>
      </c>
      <c r="F560" s="27" t="s">
        <v>1202</v>
      </c>
      <c r="G560" s="27" t="s">
        <v>605</v>
      </c>
      <c r="H560" s="27"/>
      <c r="I560" s="6"/>
      <c r="J560" s="6"/>
      <c r="K560" s="6"/>
      <c r="L560" s="6"/>
      <c r="M560" s="6"/>
      <c r="N560" s="6"/>
      <c r="O560" s="27" t="s">
        <v>862</v>
      </c>
      <c r="P560" s="34"/>
      <c r="Q560" s="34" t="s">
        <v>1668</v>
      </c>
      <c r="R560" s="29"/>
    </row>
    <row r="561" spans="1:18" ht="17.25" customHeight="1">
      <c r="A561" s="35" t="s">
        <v>541</v>
      </c>
      <c r="B561" s="23" t="str" cm="1">
        <f t="array" ref="B561">_xlfn.TEXTJOIN(", ", TRUE(), _xlfn._xlws.FILTER(Spkrs_Rcrdngs[Speaker],Spkrs_Rcrdngs[Recording]=Rcrdngs[[#This Row],[Text]],"[no speaker selected in Speakers_in_Recordings]"))</f>
        <v>Harran04, Harran02</v>
      </c>
      <c r="C561" s="41" t="str" cm="1">
        <f t="array" ref="C561">_xlfn.TEXTJOIN(", ", TRUE(), _xlfn._xlws.FILTER(Sbcts_Rcrdngs[Subject],Sbcts_Rcrdngs[Recording]=Rcrdngs[[#This Row],[Text]],"[no subject selected in Subjects_in_Recordings]"))</f>
        <v>Stories</v>
      </c>
      <c r="D561" s="25">
        <v>45771</v>
      </c>
      <c r="E561" s="26" t="s">
        <v>1669</v>
      </c>
      <c r="F561" s="27" t="s">
        <v>1202</v>
      </c>
      <c r="G561" s="27" t="s">
        <v>605</v>
      </c>
      <c r="H561" s="27"/>
      <c r="I561" s="6"/>
      <c r="J561" s="6"/>
      <c r="K561" s="6"/>
      <c r="L561" s="6"/>
      <c r="M561" s="6"/>
      <c r="N561" s="6"/>
      <c r="O561" s="27" t="s">
        <v>862</v>
      </c>
      <c r="P561" s="34"/>
      <c r="Q561" s="34" t="s">
        <v>1670</v>
      </c>
      <c r="R561" s="29"/>
    </row>
    <row r="562" spans="1:18" ht="17.25" customHeight="1">
      <c r="A562" s="35" t="s">
        <v>542</v>
      </c>
      <c r="B562" s="23" t="str" cm="1">
        <f t="array" ref="B562">_xlfn.TEXTJOIN(", ", TRUE(), _xlfn._xlws.FILTER(Spkrs_Rcrdngs[Speaker],Spkrs_Rcrdngs[Recording]=Rcrdngs[[#This Row],[Text]],"[no speaker selected in Speakers_in_Recordings]"))</f>
        <v>Harran04, Harran02</v>
      </c>
      <c r="C562" s="24" t="str" cm="1">
        <f t="array" ref="C562">_xlfn.TEXTJOIN(", ", TRUE(), _xlfn._xlws.FILTER(Sbcts_Rcrdngs[Subject],Sbcts_Rcrdngs[Recording]=Rcrdngs[[#This Row],[Text]],"[no subject selected in Subjects_in_Recordings]"))</f>
        <v>Women</v>
      </c>
      <c r="D562" s="25">
        <v>45771</v>
      </c>
      <c r="E562" s="26" t="s">
        <v>1671</v>
      </c>
      <c r="F562" s="27" t="s">
        <v>1202</v>
      </c>
      <c r="G562" s="27" t="s">
        <v>605</v>
      </c>
      <c r="H562" s="27"/>
      <c r="I562" s="6"/>
      <c r="J562" s="6"/>
      <c r="K562" s="6"/>
      <c r="L562" s="6"/>
      <c r="M562" s="6"/>
      <c r="N562" s="6"/>
      <c r="O562" s="27" t="s">
        <v>862</v>
      </c>
      <c r="P562" s="34"/>
      <c r="Q562" s="28" t="s">
        <v>1672</v>
      </c>
      <c r="R562" s="29"/>
    </row>
    <row r="563" spans="1:18" ht="17.25" customHeight="1">
      <c r="A563" s="35" t="s">
        <v>543</v>
      </c>
      <c r="B563" s="23" t="str" cm="1">
        <f t="array" ref="B563">_xlfn.TEXTJOIN(", ", TRUE(), _xlfn._xlws.FILTER(Spkrs_Rcrdngs[Speaker],Spkrs_Rcrdngs[Recording]=Rcrdngs[[#This Row],[Text]],"[no speaker selected in Speakers_in_Recordings]"))</f>
        <v>Harran04</v>
      </c>
      <c r="C563" s="41" t="str" cm="1">
        <f t="array" ref="C563">_xlfn.TEXTJOIN(", ", TRUE(), _xlfn._xlws.FILTER(Sbcts_Rcrdngs[Subject],Sbcts_Rcrdngs[Recording]=Rcrdngs[[#This Row],[Text]],"[no subject selected in Subjects_in_Recordings]"))</f>
        <v>Fasting, Medicines</v>
      </c>
      <c r="D563" s="25">
        <v>45771</v>
      </c>
      <c r="E563" s="26" t="s">
        <v>1673</v>
      </c>
      <c r="F563" s="27" t="s">
        <v>1202</v>
      </c>
      <c r="G563" s="27" t="s">
        <v>605</v>
      </c>
      <c r="H563" s="27"/>
      <c r="I563" s="6"/>
      <c r="J563" s="6"/>
      <c r="K563" s="6"/>
      <c r="L563" s="6"/>
      <c r="M563" s="6"/>
      <c r="N563" s="6"/>
      <c r="O563" s="27" t="s">
        <v>862</v>
      </c>
      <c r="P563" s="34"/>
      <c r="Q563" s="34" t="s">
        <v>1674</v>
      </c>
      <c r="R563" s="29"/>
    </row>
    <row r="564" spans="1:18" ht="17.25" customHeight="1">
      <c r="A564" s="35" t="s">
        <v>544</v>
      </c>
      <c r="B564" s="23" t="str" cm="1">
        <f t="array" ref="B564">_xlfn.TEXTJOIN(", ", TRUE(), _xlfn._xlws.FILTER(Spkrs_Rcrdngs[Speaker],Spkrs_Rcrdngs[Recording]=Rcrdngs[[#This Row],[Text]],"[no speaker selected in Speakers_in_Recordings]"))</f>
        <v>Harran04, Harran02</v>
      </c>
      <c r="C564" s="41" t="str" cm="1">
        <f t="array" ref="C564">_xlfn.TEXTJOIN(", ", TRUE(), _xlfn._xlws.FILTER(Sbcts_Rcrdngs[Subject],Sbcts_Rcrdngs[Recording]=Rcrdngs[[#This Row],[Text]],"[no subject selected in Subjects_in_Recordings]"))</f>
        <v>Giving Money</v>
      </c>
      <c r="D564" s="25">
        <v>45771</v>
      </c>
      <c r="E564" s="26" t="s">
        <v>1675</v>
      </c>
      <c r="F564" s="27" t="s">
        <v>1202</v>
      </c>
      <c r="G564" s="27" t="s">
        <v>605</v>
      </c>
      <c r="H564" s="27"/>
      <c r="I564" s="6"/>
      <c r="J564" s="6"/>
      <c r="K564" s="6"/>
      <c r="L564" s="6"/>
      <c r="M564" s="6"/>
      <c r="N564" s="6"/>
      <c r="O564" s="27" t="s">
        <v>862</v>
      </c>
      <c r="P564" s="34"/>
      <c r="Q564" s="34" t="s">
        <v>1676</v>
      </c>
      <c r="R564" s="29"/>
    </row>
    <row r="565" spans="1:18" ht="17.25" customHeight="1">
      <c r="A565" s="35" t="s">
        <v>545</v>
      </c>
      <c r="B565" s="23" t="str" cm="1">
        <f t="array" ref="B565">_xlfn.TEXTJOIN(", ", TRUE(), _xlfn._xlws.FILTER(Spkrs_Rcrdngs[Speaker],Spkrs_Rcrdngs[Recording]=Rcrdngs[[#This Row],[Text]],"[no speaker selected in Speakers_in_Recordings]"))</f>
        <v>Harran04, Harran02</v>
      </c>
      <c r="C565" s="24" t="str" cm="1">
        <f t="array" ref="C565">_xlfn.TEXTJOIN(", ", TRUE(), _xlfn._xlws.FILTER(Sbcts_Rcrdngs[Subject],Sbcts_Rcrdngs[Recording]=Rcrdngs[[#This Row],[Text]],"[no subject selected in Subjects_in_Recordings]"))</f>
        <v>Being Generous, Being Grateful</v>
      </c>
      <c r="D565" s="25">
        <v>45771</v>
      </c>
      <c r="E565" s="26" t="s">
        <v>844</v>
      </c>
      <c r="F565" s="27" t="s">
        <v>1202</v>
      </c>
      <c r="G565" s="27" t="s">
        <v>605</v>
      </c>
      <c r="H565" s="27"/>
      <c r="I565" s="6"/>
      <c r="J565" s="6"/>
      <c r="K565" s="6"/>
      <c r="L565" s="6"/>
      <c r="M565" s="6"/>
      <c r="N565" s="6"/>
      <c r="O565" s="27" t="s">
        <v>862</v>
      </c>
      <c r="P565" s="34"/>
      <c r="Q565" s="28" t="s">
        <v>1677</v>
      </c>
      <c r="R565" s="29"/>
    </row>
    <row r="566" spans="1:18" ht="17.25" customHeight="1">
      <c r="A566" s="35" t="s">
        <v>546</v>
      </c>
      <c r="B566" s="23" t="str" cm="1">
        <f t="array" ref="B566">_xlfn.TEXTJOIN(", ", TRUE(), _xlfn._xlws.FILTER(Spkrs_Rcrdngs[Speaker],Spkrs_Rcrdngs[Recording]=Rcrdngs[[#This Row],[Text]],"[no speaker selected in Speakers_in_Recordings]"))</f>
        <v>Harran04, Harran02</v>
      </c>
      <c r="C566" s="41" t="str" cm="1">
        <f t="array" ref="C566">_xlfn.TEXTJOIN(", ", TRUE(), _xlfn._xlws.FILTER(Sbcts_Rcrdngs[Subject],Sbcts_Rcrdngs[Recording]=Rcrdngs[[#This Row],[Text]],"[no subject selected in Subjects_in_Recordings]"))</f>
        <v>Stories</v>
      </c>
      <c r="D566" s="25">
        <v>45771</v>
      </c>
      <c r="E566" s="26" t="s">
        <v>1678</v>
      </c>
      <c r="F566" s="27" t="s">
        <v>1202</v>
      </c>
      <c r="G566" s="27" t="s">
        <v>605</v>
      </c>
      <c r="H566" s="27"/>
      <c r="I566" s="6"/>
      <c r="J566" s="6"/>
      <c r="K566" s="6"/>
      <c r="L566" s="6"/>
      <c r="M566" s="6"/>
      <c r="N566" s="6"/>
      <c r="O566" s="27" t="s">
        <v>862</v>
      </c>
      <c r="P566" s="34"/>
      <c r="Q566" s="34" t="s">
        <v>1679</v>
      </c>
      <c r="R566" s="29"/>
    </row>
    <row r="567" spans="1:18" ht="17.25" customHeight="1">
      <c r="A567" s="35" t="s">
        <v>547</v>
      </c>
      <c r="B567" s="23" t="str" cm="1">
        <f t="array" ref="B567">_xlfn.TEXTJOIN(", ", TRUE(), _xlfn._xlws.FILTER(Spkrs_Rcrdngs[Speaker],Spkrs_Rcrdngs[Recording]=Rcrdngs[[#This Row],[Text]],"[no speaker selected in Speakers_in_Recordings]"))</f>
        <v>Harran04, Harran02</v>
      </c>
      <c r="C567" s="24" t="str" cm="1">
        <f t="array" ref="C567">_xlfn.TEXTJOIN(", ", TRUE(), _xlfn._xlws.FILTER(Sbcts_Rcrdngs[Subject],Sbcts_Rcrdngs[Recording]=Rcrdngs[[#This Row],[Text]],"[no subject selected in Subjects_in_Recordings]"))</f>
        <v>Time Changing</v>
      </c>
      <c r="D567" s="25">
        <v>45780</v>
      </c>
      <c r="E567" s="26" t="s">
        <v>1372</v>
      </c>
      <c r="F567" s="27" t="s">
        <v>1202</v>
      </c>
      <c r="G567" s="27" t="s">
        <v>605</v>
      </c>
      <c r="H567" s="27"/>
      <c r="I567" s="6"/>
      <c r="J567" s="6"/>
      <c r="K567" s="6"/>
      <c r="L567" s="6"/>
      <c r="M567" s="6"/>
      <c r="N567" s="6"/>
      <c r="O567" s="27" t="s">
        <v>862</v>
      </c>
      <c r="P567" s="34"/>
      <c r="Q567" s="28" t="s">
        <v>1680</v>
      </c>
      <c r="R567" s="29"/>
    </row>
    <row r="568" spans="1:18" ht="17.25" customHeight="1">
      <c r="A568" s="35" t="s">
        <v>548</v>
      </c>
      <c r="B568" s="23" t="str" cm="1">
        <f t="array" ref="B568">_xlfn.TEXTJOIN(", ", TRUE(), _xlfn._xlws.FILTER(Spkrs_Rcrdngs[Speaker],Spkrs_Rcrdngs[Recording]=Rcrdngs[[#This Row],[Text]],"[no speaker selected in Speakers_in_Recordings]"))</f>
        <v>Harran04</v>
      </c>
      <c r="C568" s="24" t="str" cm="1">
        <f t="array" ref="C568">_xlfn.TEXTJOIN(", ", TRUE(), _xlfn._xlws.FILTER(Sbcts_Rcrdngs[Subject],Sbcts_Rcrdngs[Recording]=Rcrdngs[[#This Row],[Text]],"[no subject selected in Subjects_in_Recordings]"))</f>
        <v>Bread Oven</v>
      </c>
      <c r="D568" s="25">
        <v>45793</v>
      </c>
      <c r="E568" s="26" t="s">
        <v>1681</v>
      </c>
      <c r="F568" s="27" t="s">
        <v>1202</v>
      </c>
      <c r="G568" s="27" t="s">
        <v>605</v>
      </c>
      <c r="H568" s="27"/>
      <c r="I568" s="6"/>
      <c r="J568" s="6"/>
      <c r="K568" s="6"/>
      <c r="L568" s="6"/>
      <c r="M568" s="6"/>
      <c r="N568" s="6"/>
      <c r="O568" s="27" t="s">
        <v>862</v>
      </c>
      <c r="P568" s="34"/>
      <c r="Q568" s="28" t="s">
        <v>1682</v>
      </c>
      <c r="R568" s="29"/>
    </row>
    <row r="569" spans="1:18" ht="17.25" customHeight="1">
      <c r="A569" s="35" t="s">
        <v>549</v>
      </c>
      <c r="B569" s="23" t="str" cm="1">
        <f t="array" ref="B569">_xlfn.TEXTJOIN(", ", TRUE(), _xlfn._xlws.FILTER(Spkrs_Rcrdngs[Speaker],Spkrs_Rcrdngs[Recording]=Rcrdngs[[#This Row],[Text]],"[no speaker selected in Speakers_in_Recordings]"))</f>
        <v>Harran04</v>
      </c>
      <c r="C569" s="41" t="str" cm="1">
        <f t="array" ref="C569">_xlfn.TEXTJOIN(", ", TRUE(), _xlfn._xlws.FILTER(Sbcts_Rcrdngs[Subject],Sbcts_Rcrdngs[Recording]=Rcrdngs[[#This Row],[Text]],"[no subject selected in Subjects_in_Recordings]"))</f>
        <v>Bad Money</v>
      </c>
      <c r="D569" s="25">
        <v>45793</v>
      </c>
      <c r="E569" s="26" t="s">
        <v>1683</v>
      </c>
      <c r="F569" s="27" t="s">
        <v>1202</v>
      </c>
      <c r="G569" s="27" t="s">
        <v>605</v>
      </c>
      <c r="H569" s="27"/>
      <c r="I569" s="6"/>
      <c r="J569" s="6"/>
      <c r="K569" s="6"/>
      <c r="L569" s="6"/>
      <c r="M569" s="6"/>
      <c r="N569" s="6"/>
      <c r="O569" s="27" t="s">
        <v>862</v>
      </c>
      <c r="P569" s="34"/>
      <c r="Q569" s="34" t="s">
        <v>1684</v>
      </c>
      <c r="R569" s="29"/>
    </row>
    <row r="570" spans="1:18" ht="17.25" customHeight="1">
      <c r="A570" s="35" t="s">
        <v>550</v>
      </c>
      <c r="B570" s="23" t="str" cm="1">
        <f t="array" ref="B570">_xlfn.TEXTJOIN(", ", TRUE(), _xlfn._xlws.FILTER(Spkrs_Rcrdngs[Speaker],Spkrs_Rcrdngs[Recording]=Rcrdngs[[#This Row],[Text]],"[no speaker selected in Speakers_in_Recordings]"))</f>
        <v>Harran04</v>
      </c>
      <c r="C570" s="41" t="str" cm="1">
        <f t="array" ref="C570">_xlfn.TEXTJOIN(", ", TRUE(), _xlfn._xlws.FILTER(Sbcts_Rcrdngs[Subject],Sbcts_Rcrdngs[Recording]=Rcrdngs[[#This Row],[Text]],"[no subject selected in Subjects_in_Recordings]"))</f>
        <v>Story of a Man</v>
      </c>
      <c r="D570" s="25">
        <v>45793</v>
      </c>
      <c r="E570" s="26" t="s">
        <v>1685</v>
      </c>
      <c r="F570" s="27" t="s">
        <v>1202</v>
      </c>
      <c r="G570" s="27" t="s">
        <v>605</v>
      </c>
      <c r="H570" s="27"/>
      <c r="I570" s="6"/>
      <c r="J570" s="6"/>
      <c r="K570" s="6"/>
      <c r="L570" s="6"/>
      <c r="M570" s="6"/>
      <c r="N570" s="6"/>
      <c r="O570" s="27" t="s">
        <v>862</v>
      </c>
      <c r="P570" s="34"/>
      <c r="Q570" s="34" t="s">
        <v>1686</v>
      </c>
      <c r="R570" s="29"/>
    </row>
    <row r="571" spans="1:18" ht="17.25" customHeight="1">
      <c r="A571" s="35" t="s">
        <v>551</v>
      </c>
      <c r="B571" s="23" t="str" cm="1">
        <f t="array" ref="B571">_xlfn.TEXTJOIN(", ", TRUE(), _xlfn._xlws.FILTER(Spkrs_Rcrdngs[Speaker],Spkrs_Rcrdngs[Recording]=Rcrdngs[[#This Row],[Text]],"[no speaker selected in Speakers_in_Recordings]"))</f>
        <v>Harran04</v>
      </c>
      <c r="C571" s="41" t="str" cm="1">
        <f t="array" ref="C571">_xlfn.TEXTJOIN(", ", TRUE(), _xlfn._xlws.FILTER(Sbcts_Rcrdngs[Subject],Sbcts_Rcrdngs[Recording]=Rcrdngs[[#This Row],[Text]],"[no subject selected in Subjects_in_Recordings]"))</f>
        <v>People were Healthier</v>
      </c>
      <c r="D571" s="25">
        <v>45793</v>
      </c>
      <c r="E571" s="26" t="s">
        <v>1687</v>
      </c>
      <c r="F571" s="27" t="s">
        <v>1202</v>
      </c>
      <c r="G571" s="27" t="s">
        <v>605</v>
      </c>
      <c r="H571" s="27"/>
      <c r="I571" s="6"/>
      <c r="J571" s="6"/>
      <c r="K571" s="6"/>
      <c r="L571" s="6"/>
      <c r="M571" s="6"/>
      <c r="N571" s="6"/>
      <c r="O571" s="27" t="s">
        <v>862</v>
      </c>
      <c r="P571" s="34"/>
      <c r="Q571" s="34" t="s">
        <v>1688</v>
      </c>
      <c r="R571" s="29"/>
    </row>
    <row r="572" spans="1:18" ht="17.25" customHeight="1">
      <c r="A572" s="35" t="s">
        <v>552</v>
      </c>
      <c r="B572" s="23" t="str" cm="1">
        <f t="array" ref="B572">_xlfn.TEXTJOIN(", ", TRUE(), _xlfn._xlws.FILTER(Spkrs_Rcrdngs[Speaker],Spkrs_Rcrdngs[Recording]=Rcrdngs[[#This Row],[Text]],"[no speaker selected in Speakers_in_Recordings]"))</f>
        <v>Harran04</v>
      </c>
      <c r="C572" s="41" t="str" cm="1">
        <f t="array" ref="C572">_xlfn.TEXTJOIN(", ", TRUE(), _xlfn._xlws.FILTER(Sbcts_Rcrdngs[Subject],Sbcts_Rcrdngs[Recording]=Rcrdngs[[#This Row],[Text]],"[no subject selected in Subjects_in_Recordings]"))</f>
        <v>Doctors, Diseases in Former Times</v>
      </c>
      <c r="D572" s="25">
        <v>45793</v>
      </c>
      <c r="E572" s="26" t="s">
        <v>1689</v>
      </c>
      <c r="F572" s="27" t="s">
        <v>1202</v>
      </c>
      <c r="G572" s="27" t="s">
        <v>605</v>
      </c>
      <c r="H572" s="27"/>
      <c r="I572" s="6"/>
      <c r="J572" s="6"/>
      <c r="K572" s="6"/>
      <c r="L572" s="6"/>
      <c r="M572" s="6"/>
      <c r="N572" s="6"/>
      <c r="O572" s="27" t="s">
        <v>862</v>
      </c>
      <c r="P572" s="34"/>
      <c r="Q572" s="34" t="s">
        <v>1690</v>
      </c>
      <c r="R572" s="29"/>
    </row>
    <row r="573" spans="1:18" ht="17.25" customHeight="1">
      <c r="A573" s="35" t="s">
        <v>553</v>
      </c>
      <c r="B573" s="23" t="str" cm="1">
        <f t="array" ref="B573">_xlfn.TEXTJOIN(", ", TRUE(), _xlfn._xlws.FILTER(Spkrs_Rcrdngs[Speaker],Spkrs_Rcrdngs[Recording]=Rcrdngs[[#This Row],[Text]],"[no speaker selected in Speakers_in_Recordings]"))</f>
        <v>Harran04</v>
      </c>
      <c r="C573" s="41" t="str" cm="1">
        <f t="array" ref="C573">_xlfn.TEXTJOIN(", ", TRUE(), _xlfn._xlws.FILTER(Sbcts_Rcrdngs[Subject],Sbcts_Rcrdngs[Recording]=Rcrdngs[[#This Row],[Text]],"[no subject selected in Subjects_in_Recordings]"))</f>
        <v>Women</v>
      </c>
      <c r="D573" s="25">
        <v>45793</v>
      </c>
      <c r="E573" s="26" t="s">
        <v>1691</v>
      </c>
      <c r="F573" s="27" t="s">
        <v>1202</v>
      </c>
      <c r="G573" s="27" t="s">
        <v>605</v>
      </c>
      <c r="H573" s="27"/>
      <c r="I573" s="6"/>
      <c r="J573" s="6"/>
      <c r="K573" s="6"/>
      <c r="L573" s="6"/>
      <c r="M573" s="6"/>
      <c r="N573" s="6"/>
      <c r="O573" s="27" t="s">
        <v>862</v>
      </c>
      <c r="P573" s="34"/>
      <c r="Q573" s="34" t="s">
        <v>1692</v>
      </c>
      <c r="R573" s="29"/>
    </row>
    <row r="574" spans="1:18" ht="17.25" customHeight="1">
      <c r="A574" s="35" t="s">
        <v>554</v>
      </c>
      <c r="B574" s="23" t="str" cm="1">
        <f t="array" ref="B574">_xlfn.TEXTJOIN(", ", TRUE(), _xlfn._xlws.FILTER(Spkrs_Rcrdngs[Speaker],Spkrs_Rcrdngs[Recording]=Rcrdngs[[#This Row],[Text]],"[no speaker selected in Speakers_in_Recordings]"))</f>
        <v>Harran04</v>
      </c>
      <c r="C574" s="41" t="str" cm="1">
        <f t="array" ref="C574">_xlfn.TEXTJOIN(", ", TRUE(), _xlfn._xlws.FILTER(Sbcts_Rcrdngs[Subject],Sbcts_Rcrdngs[Recording]=Rcrdngs[[#This Row],[Text]],"[no subject selected in Subjects_in_Recordings]"))</f>
        <v>Family Members</v>
      </c>
      <c r="D574" s="25">
        <v>45793</v>
      </c>
      <c r="E574" s="26" t="s">
        <v>1154</v>
      </c>
      <c r="F574" s="27" t="s">
        <v>1202</v>
      </c>
      <c r="G574" s="27" t="s">
        <v>605</v>
      </c>
      <c r="H574" s="27"/>
      <c r="I574" s="6"/>
      <c r="J574" s="6"/>
      <c r="K574" s="6"/>
      <c r="L574" s="6"/>
      <c r="M574" s="6"/>
      <c r="N574" s="6"/>
      <c r="O574" s="27" t="s">
        <v>862</v>
      </c>
      <c r="P574" s="34"/>
      <c r="Q574" s="34" t="s">
        <v>1693</v>
      </c>
      <c r="R574" s="29"/>
    </row>
    <row r="575" spans="1:18" ht="17.25" customHeight="1">
      <c r="A575" s="35" t="s">
        <v>555</v>
      </c>
      <c r="B575" s="23" t="str" cm="1">
        <f t="array" ref="B575">_xlfn.TEXTJOIN(", ", TRUE(), _xlfn._xlws.FILTER(Spkrs_Rcrdngs[Speaker],Spkrs_Rcrdngs[Recording]=Rcrdngs[[#This Row],[Text]],"[no speaker selected in Speakers_in_Recordings]"))</f>
        <v>Harran04</v>
      </c>
      <c r="C575" s="41" t="str" cm="1">
        <f t="array" ref="C575">_xlfn.TEXTJOIN(", ", TRUE(), _xlfn._xlws.FILTER(Sbcts_Rcrdngs[Subject],Sbcts_Rcrdngs[Recording]=Rcrdngs[[#This Row],[Text]],"[no subject selected in Subjects_in_Recordings]"))</f>
        <v>Family Issues</v>
      </c>
      <c r="D575" s="25">
        <v>45793</v>
      </c>
      <c r="E575" s="26" t="s">
        <v>1694</v>
      </c>
      <c r="F575" s="27" t="s">
        <v>1202</v>
      </c>
      <c r="G575" s="27" t="s">
        <v>605</v>
      </c>
      <c r="H575" s="27"/>
      <c r="I575" s="6"/>
      <c r="J575" s="6"/>
      <c r="K575" s="6"/>
      <c r="L575" s="6"/>
      <c r="M575" s="6"/>
      <c r="N575" s="6"/>
      <c r="O575" s="27" t="s">
        <v>862</v>
      </c>
      <c r="P575" s="34"/>
      <c r="Q575" s="34" t="s">
        <v>1695</v>
      </c>
      <c r="R575" s="29"/>
    </row>
    <row r="576" spans="1:18" ht="17.25" customHeight="1">
      <c r="A576" s="35" t="s">
        <v>556</v>
      </c>
      <c r="B576" s="23" t="str" cm="1">
        <f t="array" ref="B576">_xlfn.TEXTJOIN(", ", TRUE(), _xlfn._xlws.FILTER(Spkrs_Rcrdngs[Speaker],Spkrs_Rcrdngs[Recording]=Rcrdngs[[#This Row],[Text]],"[no speaker selected in Speakers_in_Recordings]"))</f>
        <v>Harran04</v>
      </c>
      <c r="C576" s="41" t="str" cm="1">
        <f t="array" ref="C576">_xlfn.TEXTJOIN(", ", TRUE(), _xlfn._xlws.FILTER(Sbcts_Rcrdngs[Subject],Sbcts_Rcrdngs[Recording]=Rcrdngs[[#This Row],[Text]],"[no subject selected in Subjects_in_Recordings]"))</f>
        <v>Donkey</v>
      </c>
      <c r="D576" s="25">
        <v>45793</v>
      </c>
      <c r="E576" s="26" t="s">
        <v>1696</v>
      </c>
      <c r="F576" s="27" t="s">
        <v>1202</v>
      </c>
      <c r="G576" s="27" t="s">
        <v>605</v>
      </c>
      <c r="H576" s="27"/>
      <c r="I576" s="6"/>
      <c r="J576" s="6"/>
      <c r="K576" s="6"/>
      <c r="L576" s="6"/>
      <c r="M576" s="6"/>
      <c r="N576" s="6"/>
      <c r="O576" s="27" t="s">
        <v>862</v>
      </c>
      <c r="P576" s="34"/>
      <c r="Q576" s="34" t="s">
        <v>1697</v>
      </c>
      <c r="R576" s="29"/>
    </row>
    <row r="577" spans="1:18" ht="17.25" customHeight="1">
      <c r="A577" s="35" t="s">
        <v>557</v>
      </c>
      <c r="B577" s="23" t="str" cm="1">
        <f t="array" ref="B577">_xlfn.TEXTJOIN(", ", TRUE(), _xlfn._xlws.FILTER(Spkrs_Rcrdngs[Speaker],Spkrs_Rcrdngs[Recording]=Rcrdngs[[#This Row],[Text]],"[no speaker selected in Speakers_in_Recordings]"))</f>
        <v>Harran04</v>
      </c>
      <c r="C577" s="41" t="str" cm="1">
        <f t="array" ref="C577">_xlfn.TEXTJOIN(", ", TRUE(), _xlfn._xlws.FILTER(Sbcts_Rcrdngs[Subject],Sbcts_Rcrdngs[Recording]=Rcrdngs[[#This Row],[Text]],"[no subject selected in Subjects_in_Recordings]"))</f>
        <v>Syrians</v>
      </c>
      <c r="D577" s="25">
        <v>45796</v>
      </c>
      <c r="E577" s="26" t="s">
        <v>1698</v>
      </c>
      <c r="F577" s="27" t="s">
        <v>1202</v>
      </c>
      <c r="G577" s="27" t="s">
        <v>605</v>
      </c>
      <c r="H577" s="27"/>
      <c r="I577" s="6"/>
      <c r="J577" s="6"/>
      <c r="K577" s="6"/>
      <c r="L577" s="6"/>
      <c r="M577" s="6"/>
      <c r="N577" s="6"/>
      <c r="O577" s="27" t="s">
        <v>862</v>
      </c>
      <c r="P577" s="34"/>
      <c r="Q577" s="34" t="s">
        <v>1699</v>
      </c>
      <c r="R577" s="29"/>
    </row>
    <row r="578" spans="1:18" ht="17.25" customHeight="1">
      <c r="A578" s="35" t="s">
        <v>558</v>
      </c>
      <c r="B578" s="23" t="str" cm="1">
        <f t="array" ref="B578">_xlfn.TEXTJOIN(", ", TRUE(), _xlfn._xlws.FILTER(Spkrs_Rcrdngs[Speaker],Spkrs_Rcrdngs[Recording]=Rcrdngs[[#This Row],[Text]],"[no speaker selected in Speakers_in_Recordings]"))</f>
        <v>Harran04, Harran25</v>
      </c>
      <c r="C578" s="41" t="str" cm="1">
        <f t="array" ref="C578">_xlfn.TEXTJOIN(", ", TRUE(), _xlfn._xlws.FILTER(Sbcts_Rcrdngs[Subject],Sbcts_Rcrdngs[Recording]=Rcrdngs[[#This Row],[Text]],"[no subject selected in Subjects_in_Recordings]"))</f>
        <v>Snake</v>
      </c>
      <c r="D578" s="25">
        <v>45806</v>
      </c>
      <c r="E578" s="26" t="s">
        <v>1700</v>
      </c>
      <c r="F578" s="27" t="s">
        <v>1202</v>
      </c>
      <c r="G578" s="27" t="s">
        <v>605</v>
      </c>
      <c r="H578" s="27"/>
      <c r="I578" s="6"/>
      <c r="J578" s="6"/>
      <c r="K578" s="6"/>
      <c r="L578" s="6"/>
      <c r="M578" s="6"/>
      <c r="N578" s="6"/>
      <c r="O578" s="27" t="s">
        <v>862</v>
      </c>
      <c r="P578" s="34"/>
      <c r="Q578" s="34" t="s">
        <v>1701</v>
      </c>
      <c r="R578" s="29"/>
    </row>
    <row r="579" spans="1:18" ht="17.25" customHeight="1">
      <c r="A579" s="35" t="s">
        <v>559</v>
      </c>
      <c r="B579" s="23" t="str" cm="1">
        <f t="array" ref="B579">_xlfn.TEXTJOIN(", ", TRUE(), _xlfn._xlws.FILTER(Spkrs_Rcrdngs[Speaker],Spkrs_Rcrdngs[Recording]=Rcrdngs[[#This Row],[Text]],"[no speaker selected in Speakers_in_Recordings]"))</f>
        <v>Harran04, Harran25</v>
      </c>
      <c r="C579" s="41" t="str" cm="1">
        <f t="array" ref="C579">_xlfn.TEXTJOIN(", ", TRUE(), _xlfn._xlws.FILTER(Sbcts_Rcrdngs[Subject],Sbcts_Rcrdngs[Recording]=Rcrdngs[[#This Row],[Text]],"[no subject selected in Subjects_in_Recordings]"))</f>
        <v>Personal Story</v>
      </c>
      <c r="D579" s="25">
        <v>45806</v>
      </c>
      <c r="E579" s="26" t="s">
        <v>1702</v>
      </c>
      <c r="F579" s="27" t="s">
        <v>1202</v>
      </c>
      <c r="G579" s="27" t="s">
        <v>605</v>
      </c>
      <c r="H579" s="27"/>
      <c r="I579" s="6"/>
      <c r="J579" s="6"/>
      <c r="K579" s="6"/>
      <c r="L579" s="6"/>
      <c r="M579" s="6"/>
      <c r="N579" s="6"/>
      <c r="O579" s="27" t="s">
        <v>862</v>
      </c>
      <c r="P579" s="34"/>
      <c r="Q579" s="34" t="s">
        <v>1703</v>
      </c>
      <c r="R579" s="29"/>
    </row>
    <row r="580" spans="1:18" ht="17.25" customHeight="1">
      <c r="A580" s="35" t="s">
        <v>560</v>
      </c>
      <c r="B580" s="23" t="str" cm="1">
        <f t="array" ref="B580">_xlfn.TEXTJOIN(", ", TRUE(), _xlfn._xlws.FILTER(Spkrs_Rcrdngs[Speaker],Spkrs_Rcrdngs[Recording]=Rcrdngs[[#This Row],[Text]],"[no speaker selected in Speakers_in_Recordings]"))</f>
        <v>Harran04, Harran25</v>
      </c>
      <c r="C580" s="41" t="str" cm="1">
        <f t="array" ref="C580">_xlfn.TEXTJOIN(", ", TRUE(), _xlfn._xlws.FILTER(Sbcts_Rcrdngs[Subject],Sbcts_Rcrdngs[Recording]=Rcrdngs[[#This Row],[Text]],"[no subject selected in Subjects_in_Recordings]"))</f>
        <v>Woman</v>
      </c>
      <c r="D580" s="25">
        <v>45806</v>
      </c>
      <c r="E580" s="26" t="s">
        <v>634</v>
      </c>
      <c r="F580" s="27" t="s">
        <v>1202</v>
      </c>
      <c r="G580" s="27" t="s">
        <v>605</v>
      </c>
      <c r="H580" s="27"/>
      <c r="I580" s="6"/>
      <c r="J580" s="6"/>
      <c r="K580" s="6"/>
      <c r="L580" s="6"/>
      <c r="M580" s="6"/>
      <c r="N580" s="6"/>
      <c r="O580" s="27" t="s">
        <v>862</v>
      </c>
      <c r="P580" s="34"/>
      <c r="Q580" s="34" t="s">
        <v>1704</v>
      </c>
      <c r="R580" s="29"/>
    </row>
    <row r="581" spans="1:18" ht="17.25" customHeight="1">
      <c r="A581" s="35" t="s">
        <v>561</v>
      </c>
      <c r="B581" s="23" t="str" cm="1">
        <f t="array" ref="B581">_xlfn.TEXTJOIN(", ", TRUE(), _xlfn._xlws.FILTER(Spkrs_Rcrdngs[Speaker],Spkrs_Rcrdngs[Recording]=Rcrdngs[[#This Row],[Text]],"[no speaker selected in Speakers_in_Recordings]"))</f>
        <v>Harran04</v>
      </c>
      <c r="C581" s="41" t="str" cm="1">
        <f t="array" ref="C581">_xlfn.TEXTJOIN(", ", TRUE(), _xlfn._xlws.FILTER(Sbcts_Rcrdngs[Subject],Sbcts_Rcrdngs[Recording]=Rcrdngs[[#This Row],[Text]],"[no subject selected in Subjects_in_Recordings]"))</f>
        <v>Conversation</v>
      </c>
      <c r="D581" s="25">
        <v>45815</v>
      </c>
      <c r="E581" s="26" t="s">
        <v>1705</v>
      </c>
      <c r="F581" s="27" t="s">
        <v>1202</v>
      </c>
      <c r="G581" s="27" t="s">
        <v>605</v>
      </c>
      <c r="H581" s="27"/>
      <c r="I581" s="6"/>
      <c r="J581" s="6"/>
      <c r="K581" s="6"/>
      <c r="L581" s="6"/>
      <c r="M581" s="6"/>
      <c r="N581" s="6"/>
      <c r="O581" s="27" t="s">
        <v>862</v>
      </c>
      <c r="P581" s="34"/>
      <c r="Q581" s="34" t="s">
        <v>1706</v>
      </c>
      <c r="R581" s="29"/>
    </row>
    <row r="582" spans="1:18" ht="17.25" customHeight="1">
      <c r="A582" s="35" t="s">
        <v>562</v>
      </c>
      <c r="B582" s="23" t="str" cm="1">
        <f t="array" ref="B582">_xlfn.TEXTJOIN(", ", TRUE(), _xlfn._xlws.FILTER(Spkrs_Rcrdngs[Speaker],Spkrs_Rcrdngs[Recording]=Rcrdngs[[#This Row],[Text]],"[no speaker selected in Speakers_in_Recordings]"))</f>
        <v>Harran06</v>
      </c>
      <c r="C582" s="41" t="str" cm="1">
        <f t="array" ref="C582">_xlfn.TEXTJOIN(", ", TRUE(), _xlfn._xlws.FILTER(Sbcts_Rcrdngs[Subject],Sbcts_Rcrdngs[Recording]=Rcrdngs[[#This Row],[Text]],"[no subject selected in Subjects_in_Recordings]"))</f>
        <v>Proverb</v>
      </c>
      <c r="D582" s="25">
        <v>45818</v>
      </c>
      <c r="E582" s="26" t="s">
        <v>790</v>
      </c>
      <c r="F582" s="27" t="s">
        <v>1202</v>
      </c>
      <c r="G582" s="27" t="s">
        <v>605</v>
      </c>
      <c r="H582" s="27"/>
      <c r="I582" s="6"/>
      <c r="J582" s="6"/>
      <c r="K582" s="6"/>
      <c r="L582" s="6"/>
      <c r="M582" s="6"/>
      <c r="N582" s="6"/>
      <c r="O582" s="27" t="s">
        <v>862</v>
      </c>
      <c r="P582" s="34"/>
      <c r="Q582" s="34" t="s">
        <v>1707</v>
      </c>
      <c r="R582" s="29"/>
    </row>
    <row r="583" spans="1:18" ht="17.25" customHeight="1">
      <c r="A583" s="35" t="s">
        <v>563</v>
      </c>
      <c r="B583" s="23" t="str" cm="1">
        <f t="array" ref="B583">_xlfn.TEXTJOIN(", ", TRUE(), _xlfn._xlws.FILTER(Spkrs_Rcrdngs[Speaker],Spkrs_Rcrdngs[Recording]=Rcrdngs[[#This Row],[Text]],"[no speaker selected in Speakers_in_Recordings]"))</f>
        <v>Harran06, Harran02</v>
      </c>
      <c r="C583" s="41" t="str" cm="1">
        <f t="array" ref="C583">_xlfn.TEXTJOIN(", ", TRUE(), _xlfn._xlws.FILTER(Sbcts_Rcrdngs[Subject],Sbcts_Rcrdngs[Recording]=Rcrdngs[[#This Row],[Text]],"[no subject selected in Subjects_in_Recordings]"))</f>
        <v>Men Types</v>
      </c>
      <c r="D583" s="25">
        <v>45818</v>
      </c>
      <c r="E583" s="26" t="s">
        <v>983</v>
      </c>
      <c r="F583" s="27" t="s">
        <v>1202</v>
      </c>
      <c r="G583" s="27" t="s">
        <v>605</v>
      </c>
      <c r="H583" s="27"/>
      <c r="I583" s="6"/>
      <c r="J583" s="6"/>
      <c r="K583" s="6"/>
      <c r="L583" s="6"/>
      <c r="M583" s="6"/>
      <c r="N583" s="6"/>
      <c r="O583" s="27" t="s">
        <v>862</v>
      </c>
      <c r="P583" s="34"/>
      <c r="Q583" s="34" t="s">
        <v>1708</v>
      </c>
      <c r="R583" s="29"/>
    </row>
    <row r="584" spans="1:18" ht="17.25" customHeight="1">
      <c r="A584" s="35" t="s">
        <v>564</v>
      </c>
      <c r="B584" s="23" t="str" cm="1">
        <f t="array" ref="B584">_xlfn.TEXTJOIN(", ", TRUE(), _xlfn._xlws.FILTER(Spkrs_Rcrdngs[Speaker],Spkrs_Rcrdngs[Recording]=Rcrdngs[[#This Row],[Text]],"[no speaker selected in Speakers_in_Recordings]"))</f>
        <v>Harran03</v>
      </c>
      <c r="C584" s="24" t="str" cm="1">
        <f t="array" ref="C584">_xlfn.TEXTJOIN(", ", TRUE(), _xlfn._xlws.FILTER(Sbcts_Rcrdngs[Subject],Sbcts_Rcrdngs[Recording]=Rcrdngs[[#This Row],[Text]],"[no subject selected in Subjects_in_Recordings]"))</f>
        <v>Prophet Ibrahim</v>
      </c>
      <c r="D584" s="25">
        <v>45954</v>
      </c>
      <c r="E584" s="26" t="s">
        <v>887</v>
      </c>
      <c r="F584" s="27" t="s">
        <v>1202</v>
      </c>
      <c r="G584" s="27" t="s">
        <v>605</v>
      </c>
      <c r="H584" s="27"/>
      <c r="I584" s="6"/>
      <c r="J584" s="6"/>
      <c r="K584" s="6"/>
      <c r="L584" s="6"/>
      <c r="M584" s="6"/>
      <c r="N584" s="6"/>
      <c r="O584" s="27" t="s">
        <v>862</v>
      </c>
      <c r="P584" s="34"/>
      <c r="Q584" s="28" t="s">
        <v>1709</v>
      </c>
      <c r="R584" s="29"/>
    </row>
    <row r="585" spans="1:18" ht="17.25" customHeight="1">
      <c r="A585" s="35" t="s">
        <v>565</v>
      </c>
      <c r="B585" s="23" t="str" cm="1">
        <f t="array" ref="B585">_xlfn.TEXTJOIN(", ", TRUE(), _xlfn._xlws.FILTER(Spkrs_Rcrdngs[Speaker],Spkrs_Rcrdngs[Recording]=Rcrdngs[[#This Row],[Text]],"[no speaker selected in Speakers_in_Recordings]"))</f>
        <v>Harran03</v>
      </c>
      <c r="C585" s="41" t="str" cm="1">
        <f t="array" ref="C585">_xlfn.TEXTJOIN(", ", TRUE(), _xlfn._xlws.FILTER(Sbcts_Rcrdngs[Subject],Sbcts_Rcrdngs[Recording]=Rcrdngs[[#This Row],[Text]],"[no subject selected in Subjects_in_Recordings]"))</f>
        <v>Cain and Abel</v>
      </c>
      <c r="D585" s="25">
        <v>45954</v>
      </c>
      <c r="E585" s="26" t="s">
        <v>1710</v>
      </c>
      <c r="F585" s="27" t="s">
        <v>1202</v>
      </c>
      <c r="G585" s="27" t="s">
        <v>605</v>
      </c>
      <c r="H585" s="27"/>
      <c r="I585" s="6"/>
      <c r="J585" s="6"/>
      <c r="K585" s="6"/>
      <c r="L585" s="6"/>
      <c r="M585" s="6"/>
      <c r="N585" s="6"/>
      <c r="O585" s="27" t="s">
        <v>862</v>
      </c>
      <c r="P585" s="34"/>
      <c r="Q585" s="34" t="s">
        <v>1711</v>
      </c>
      <c r="R585" s="29"/>
    </row>
    <row r="586" spans="1:18" ht="17.25" customHeight="1">
      <c r="A586" s="35" t="s">
        <v>566</v>
      </c>
      <c r="B586" s="23" t="str" cm="1">
        <f t="array" ref="B586">_xlfn.TEXTJOIN(", ", TRUE(), _xlfn._xlws.FILTER(Spkrs_Rcrdngs[Speaker],Spkrs_Rcrdngs[Recording]=Rcrdngs[[#This Row],[Text]],"[no speaker selected in Speakers_in_Recordings]"))</f>
        <v>Harran03</v>
      </c>
      <c r="C586" s="41" t="str" cm="1">
        <f t="array" ref="C586">_xlfn.TEXTJOIN(", ", TRUE(), _xlfn._xlws.FILTER(Sbcts_Rcrdngs[Subject],Sbcts_Rcrdngs[Recording]=Rcrdngs[[#This Row],[Text]],"[no subject selected in Subjects_in_Recordings]"))</f>
        <v>Story of Creation</v>
      </c>
      <c r="D586" s="25">
        <v>45954</v>
      </c>
      <c r="E586" s="26" t="s">
        <v>835</v>
      </c>
      <c r="F586" s="27" t="s">
        <v>1202</v>
      </c>
      <c r="G586" s="27" t="s">
        <v>605</v>
      </c>
      <c r="H586" s="27"/>
      <c r="I586" s="6"/>
      <c r="J586" s="6"/>
      <c r="K586" s="6"/>
      <c r="L586" s="6"/>
      <c r="M586" s="6"/>
      <c r="N586" s="6"/>
      <c r="O586" s="27" t="s">
        <v>862</v>
      </c>
      <c r="P586" s="34"/>
      <c r="Q586" s="34" t="s">
        <v>1712</v>
      </c>
      <c r="R586" s="29"/>
    </row>
    <row r="587" spans="1:18" ht="17.25" customHeight="1">
      <c r="A587" s="35" t="s">
        <v>567</v>
      </c>
      <c r="B587" s="23" t="str" cm="1">
        <f t="array" ref="B587">_xlfn.TEXTJOIN(", ", TRUE(), _xlfn._xlws.FILTER(Spkrs_Rcrdngs[Speaker],Spkrs_Rcrdngs[Recording]=Rcrdngs[[#This Row],[Text]],"[no speaker selected in Speakers_in_Recordings]"))</f>
        <v>Harran03</v>
      </c>
      <c r="C587" s="41" t="str" cm="1">
        <f t="array" ref="C587">_xlfn.TEXTJOIN(", ", TRUE(), _xlfn._xlws.FILTER(Sbcts_Rcrdngs[Subject],Sbcts_Rcrdngs[Recording]=Rcrdngs[[#This Row],[Text]],"[no subject selected in Subjects_in_Recordings]"))</f>
        <v>Marrying four Women</v>
      </c>
      <c r="D587" s="25">
        <v>45954</v>
      </c>
      <c r="E587" s="26" t="s">
        <v>1713</v>
      </c>
      <c r="F587" s="27" t="s">
        <v>1202</v>
      </c>
      <c r="G587" s="27" t="s">
        <v>605</v>
      </c>
      <c r="H587" s="27"/>
      <c r="I587" s="6"/>
      <c r="J587" s="6"/>
      <c r="K587" s="6"/>
      <c r="L587" s="6"/>
      <c r="M587" s="6"/>
      <c r="N587" s="6"/>
      <c r="O587" s="27" t="s">
        <v>862</v>
      </c>
      <c r="P587" s="34"/>
      <c r="Q587" s="34" t="s">
        <v>1714</v>
      </c>
      <c r="R587" s="29"/>
    </row>
    <row r="588" spans="1:18" ht="17.25" customHeight="1">
      <c r="A588" s="35" t="s">
        <v>568</v>
      </c>
      <c r="B588" s="23" t="str" cm="1">
        <f t="array" ref="B588">_xlfn.TEXTJOIN(", ", TRUE(), _xlfn._xlws.FILTER(Spkrs_Rcrdngs[Speaker],Spkrs_Rcrdngs[Recording]=Rcrdngs[[#This Row],[Text]],"[no speaker selected in Speakers_in_Recordings]"))</f>
        <v>Harran02</v>
      </c>
      <c r="C588" s="41" t="str" cm="1">
        <f t="array" ref="C588">_xlfn.TEXTJOIN(", ", TRUE(), _xlfn._xlws.FILTER(Sbcts_Rcrdngs[Subject],Sbcts_Rcrdngs[Recording]=Rcrdngs[[#This Row],[Text]],"[no subject selected in Subjects_in_Recordings]"))</f>
        <v>Excuse</v>
      </c>
      <c r="D588" s="25">
        <v>45968</v>
      </c>
      <c r="E588" s="26" t="s">
        <v>901</v>
      </c>
      <c r="F588" s="27" t="s">
        <v>861</v>
      </c>
      <c r="G588" s="27" t="s">
        <v>605</v>
      </c>
      <c r="H588" s="27" t="s">
        <v>861</v>
      </c>
      <c r="I588" s="6" t="s">
        <v>604</v>
      </c>
      <c r="J588" s="6" t="s">
        <v>861</v>
      </c>
      <c r="K588" s="6"/>
      <c r="L588" s="6"/>
      <c r="M588" s="6"/>
      <c r="N588" s="6"/>
      <c r="O588" s="27" t="s">
        <v>862</v>
      </c>
      <c r="P588" s="34"/>
      <c r="Q588" s="34" t="s">
        <v>1715</v>
      </c>
      <c r="R588" s="29"/>
    </row>
    <row r="589" spans="1:18" ht="17.25" customHeight="1">
      <c r="A589" s="35" t="s">
        <v>569</v>
      </c>
      <c r="B589" s="23" t="str" cm="1">
        <f t="array" ref="B589">_xlfn.TEXTJOIN(", ", TRUE(), _xlfn._xlws.FILTER(Spkrs_Rcrdngs[Speaker],Spkrs_Rcrdngs[Recording]=Rcrdngs[[#This Row],[Text]],"[no speaker selected in Speakers_in_Recordings]"))</f>
        <v>Harran03</v>
      </c>
      <c r="C589" s="24" t="str" cm="1">
        <f t="array" ref="C589">_xlfn.TEXTJOIN(", ", TRUE(), _xlfn._xlws.FILTER(Sbcts_Rcrdngs[Subject],Sbcts_Rcrdngs[Recording]=Rcrdngs[[#This Row],[Text]],"[no subject selected in Subjects_in_Recordings]"))</f>
        <v>Driving Licence</v>
      </c>
      <c r="D589" s="25">
        <v>45968</v>
      </c>
      <c r="E589" s="26" t="s">
        <v>1716</v>
      </c>
      <c r="F589" s="27" t="s">
        <v>861</v>
      </c>
      <c r="G589" s="27" t="s">
        <v>605</v>
      </c>
      <c r="H589" s="27"/>
      <c r="I589" s="6"/>
      <c r="J589" s="6"/>
      <c r="K589" s="6"/>
      <c r="L589" s="6"/>
      <c r="M589" s="6"/>
      <c r="N589" s="6"/>
      <c r="O589" s="27" t="s">
        <v>862</v>
      </c>
      <c r="P589" s="34"/>
      <c r="Q589" s="28" t="s">
        <v>1717</v>
      </c>
      <c r="R589" s="29"/>
    </row>
    <row r="590" spans="1:18" ht="17.25" customHeight="1">
      <c r="A590" s="35" t="s">
        <v>570</v>
      </c>
      <c r="B590" s="23" t="str" cm="1">
        <f t="array" ref="B590">_xlfn.TEXTJOIN(", ", TRUE(), _xlfn._xlws.FILTER(Spkrs_Rcrdngs[Speaker],Spkrs_Rcrdngs[Recording]=Rcrdngs[[#This Row],[Text]],"[no speaker selected in Speakers_in_Recordings]"))</f>
        <v>Harran03</v>
      </c>
      <c r="C590" s="41" t="str" cm="1">
        <f t="array" ref="C590">_xlfn.TEXTJOIN(", ", TRUE(), _xlfn._xlws.FILTER(Sbcts_Rcrdngs[Subject],Sbcts_Rcrdngs[Recording]=Rcrdngs[[#This Row],[Text]],"[no subject selected in Subjects_in_Recordings]"))</f>
        <v>Cradle</v>
      </c>
      <c r="D590" s="25">
        <v>45968</v>
      </c>
      <c r="E590" s="26" t="s">
        <v>1071</v>
      </c>
      <c r="F590" s="27" t="s">
        <v>861</v>
      </c>
      <c r="G590" s="27" t="s">
        <v>605</v>
      </c>
      <c r="H590" s="27" t="s">
        <v>861</v>
      </c>
      <c r="I590" s="6" t="s">
        <v>604</v>
      </c>
      <c r="J590" s="6" t="s">
        <v>861</v>
      </c>
      <c r="K590" s="6"/>
      <c r="L590" s="6"/>
      <c r="M590" s="6"/>
      <c r="N590" s="6"/>
      <c r="O590" s="27" t="s">
        <v>862</v>
      </c>
      <c r="P590" s="34"/>
      <c r="Q590" s="34" t="s">
        <v>1718</v>
      </c>
      <c r="R590" s="29"/>
    </row>
    <row r="591" spans="1:18" ht="17.25" customHeight="1">
      <c r="A591" s="35" t="s">
        <v>571</v>
      </c>
      <c r="B591" s="23" t="str" cm="1">
        <f t="array" ref="B591">_xlfn.TEXTJOIN(", ", TRUE(), _xlfn._xlws.FILTER(Spkrs_Rcrdngs[Speaker],Spkrs_Rcrdngs[Recording]=Rcrdngs[[#This Row],[Text]],"[no speaker selected in Speakers_in_Recordings]"))</f>
        <v>Harran03</v>
      </c>
      <c r="C591" s="41" t="str" cm="1">
        <f t="array" ref="C591">_xlfn.TEXTJOIN(", ", TRUE(), _xlfn._xlws.FILTER(Sbcts_Rcrdngs[Subject],Sbcts_Rcrdngs[Recording]=Rcrdngs[[#This Row],[Text]],"[no subject selected in Subjects_in_Recordings]"))</f>
        <v>Neighbour's Death</v>
      </c>
      <c r="D591" s="25">
        <v>45968</v>
      </c>
      <c r="E591" s="26" t="s">
        <v>1719</v>
      </c>
      <c r="F591" s="27" t="s">
        <v>861</v>
      </c>
      <c r="G591" s="27" t="s">
        <v>605</v>
      </c>
      <c r="H591" s="27"/>
      <c r="I591" s="6"/>
      <c r="J591" s="6"/>
      <c r="K591" s="6"/>
      <c r="L591" s="6"/>
      <c r="M591" s="6"/>
      <c r="N591" s="6"/>
      <c r="O591" s="27" t="s">
        <v>862</v>
      </c>
      <c r="P591" s="34"/>
      <c r="Q591" s="34" t="s">
        <v>1720</v>
      </c>
      <c r="R591" s="29"/>
    </row>
    <row r="592" spans="1:18" ht="17.25" customHeight="1">
      <c r="A592" s="35" t="s">
        <v>572</v>
      </c>
      <c r="B592" s="23" t="str" cm="1">
        <f t="array" ref="B592">_xlfn.TEXTJOIN(", ", TRUE(), _xlfn._xlws.FILTER(Spkrs_Rcrdngs[Speaker],Spkrs_Rcrdngs[Recording]=Rcrdngs[[#This Row],[Text]],"[no speaker selected in Speakers_in_Recordings]"))</f>
        <v>Harran03</v>
      </c>
      <c r="C592" s="41" t="str" cm="1">
        <f t="array" ref="C592">_xlfn.TEXTJOIN(", ", TRUE(), _xlfn._xlws.FILTER(Sbcts_Rcrdngs[Subject],Sbcts_Rcrdngs[Recording]=Rcrdngs[[#This Row],[Text]],"[no subject selected in Subjects_in_Recordings]"))</f>
        <v>Kinship Terms</v>
      </c>
      <c r="D592" s="25">
        <v>45968</v>
      </c>
      <c r="E592" s="26" t="s">
        <v>1484</v>
      </c>
      <c r="F592" s="27" t="s">
        <v>861</v>
      </c>
      <c r="G592" s="27" t="s">
        <v>605</v>
      </c>
      <c r="H592" s="27"/>
      <c r="I592" s="6"/>
      <c r="J592" s="6"/>
      <c r="K592" s="6"/>
      <c r="L592" s="6"/>
      <c r="M592" s="6"/>
      <c r="N592" s="6"/>
      <c r="O592" s="27" t="s">
        <v>862</v>
      </c>
      <c r="P592" s="34"/>
      <c r="Q592" s="34" t="s">
        <v>1721</v>
      </c>
      <c r="R592" s="29"/>
    </row>
    <row r="593" spans="1:18" ht="17.25" customHeight="1">
      <c r="A593" s="35" t="s">
        <v>573</v>
      </c>
      <c r="B593" s="23" t="str" cm="1">
        <f t="array" ref="B593">_xlfn.TEXTJOIN(", ", TRUE(), _xlfn._xlws.FILTER(Spkrs_Rcrdngs[Speaker],Spkrs_Rcrdngs[Recording]=Rcrdngs[[#This Row],[Text]],"[no speaker selected in Speakers_in_Recordings]"))</f>
        <v>Harran03</v>
      </c>
      <c r="C593" s="41" t="str" cm="1">
        <f t="array" ref="C593">_xlfn.TEXTJOIN(", ", TRUE(), _xlfn._xlws.FILTER(Sbcts_Rcrdngs[Subject],Sbcts_Rcrdngs[Recording]=Rcrdngs[[#This Row],[Text]],"[no subject selected in Subjects_in_Recordings]"))</f>
        <v>Neighbour's Mother</v>
      </c>
      <c r="D593" s="25">
        <v>45968</v>
      </c>
      <c r="E593" s="26" t="s">
        <v>1722</v>
      </c>
      <c r="F593" s="27" t="s">
        <v>861</v>
      </c>
      <c r="G593" s="27" t="s">
        <v>605</v>
      </c>
      <c r="H593" s="27"/>
      <c r="I593" s="6"/>
      <c r="J593" s="6"/>
      <c r="K593" s="6"/>
      <c r="L593" s="6"/>
      <c r="M593" s="6"/>
      <c r="N593" s="6"/>
      <c r="O593" s="27" t="s">
        <v>862</v>
      </c>
      <c r="P593" s="34"/>
      <c r="Q593" s="34" t="s">
        <v>1723</v>
      </c>
      <c r="R593" s="29"/>
    </row>
    <row r="594" spans="1:18" ht="17.25" customHeight="1">
      <c r="A594" s="35" t="s">
        <v>574</v>
      </c>
      <c r="B594" s="23" t="str" cm="1">
        <f t="array" ref="B594">_xlfn.TEXTJOIN(", ", TRUE(), _xlfn._xlws.FILTER(Spkrs_Rcrdngs[Speaker],Spkrs_Rcrdngs[Recording]=Rcrdngs[[#This Row],[Text]],"[no speaker selected in Speakers_in_Recordings]"))</f>
        <v>Harran02</v>
      </c>
      <c r="C594" s="24" t="str" cm="1">
        <f t="array" ref="C594">_xlfn.TEXTJOIN(", ", TRUE(), _xlfn._xlws.FILTER(Sbcts_Rcrdngs[Subject],Sbcts_Rcrdngs[Recording]=Rcrdngs[[#This Row],[Text]],"[no subject selected in Subjects_in_Recordings]"))</f>
        <v>Women's Genealogy</v>
      </c>
      <c r="D594" s="25">
        <v>45968</v>
      </c>
      <c r="E594" s="26" t="s">
        <v>1724</v>
      </c>
      <c r="F594" s="27" t="s">
        <v>861</v>
      </c>
      <c r="G594" s="27" t="s">
        <v>605</v>
      </c>
      <c r="H594" s="27"/>
      <c r="I594" s="6"/>
      <c r="J594" s="6"/>
      <c r="K594" s="6"/>
      <c r="L594" s="6"/>
      <c r="M594" s="6"/>
      <c r="N594" s="6"/>
      <c r="O594" s="27" t="s">
        <v>862</v>
      </c>
      <c r="P594" s="34"/>
      <c r="Q594" s="28" t="s">
        <v>1725</v>
      </c>
      <c r="R594" s="29"/>
    </row>
    <row r="595" spans="1:18" ht="17.25" customHeight="1">
      <c r="A595" s="35" t="s">
        <v>575</v>
      </c>
      <c r="B595" s="23" t="str" cm="1">
        <f t="array" ref="B595">_xlfn.TEXTJOIN(", ", TRUE(), _xlfn._xlws.FILTER(Spkrs_Rcrdngs[Speaker],Spkrs_Rcrdngs[Recording]=Rcrdngs[[#This Row],[Text]],"[no speaker selected in Speakers_in_Recordings]"))</f>
        <v>Harran03</v>
      </c>
      <c r="C595" s="41" t="str" cm="1">
        <f t="array" ref="C595">_xlfn.TEXTJOIN(", ", TRUE(), _xlfn._xlws.FILTER(Sbcts_Rcrdngs[Subject],Sbcts_Rcrdngs[Recording]=Rcrdngs[[#This Row],[Text]],"[no subject selected in Subjects_in_Recordings]"))</f>
        <v>Life Story of Grandmother</v>
      </c>
      <c r="D595" s="25">
        <v>45971</v>
      </c>
      <c r="E595" s="26" t="s">
        <v>1726</v>
      </c>
      <c r="F595" s="27" t="s">
        <v>861</v>
      </c>
      <c r="G595" s="27" t="s">
        <v>605</v>
      </c>
      <c r="H595" s="27"/>
      <c r="I595" s="6"/>
      <c r="J595" s="6"/>
      <c r="K595" s="6"/>
      <c r="L595" s="6"/>
      <c r="M595" s="6"/>
      <c r="N595" s="6"/>
      <c r="O595" s="27" t="s">
        <v>862</v>
      </c>
      <c r="P595" s="34"/>
      <c r="Q595" s="34" t="s">
        <v>1727</v>
      </c>
      <c r="R595" s="29"/>
    </row>
    <row r="596" spans="1:18" ht="17.25" customHeight="1">
      <c r="A596" s="35" t="s">
        <v>576</v>
      </c>
      <c r="B596" s="23" t="str" cm="1">
        <f t="array" ref="B596">_xlfn.TEXTJOIN(", ", TRUE(), _xlfn._xlws.FILTER(Spkrs_Rcrdngs[Speaker],Spkrs_Rcrdngs[Recording]=Rcrdngs[[#This Row],[Text]],"[no speaker selected in Speakers_in_Recordings]"))</f>
        <v>Harran03</v>
      </c>
      <c r="C596" s="41" t="str" cm="1">
        <f t="array" ref="C596">_xlfn.TEXTJOIN(", ", TRUE(), _xlfn._xlws.FILTER(Sbcts_Rcrdngs[Subject],Sbcts_Rcrdngs[Recording]=Rcrdngs[[#This Row],[Text]],"[no subject selected in Subjects_in_Recordings]"))</f>
        <v>Life Story of Mother</v>
      </c>
      <c r="D596" s="25">
        <v>45971</v>
      </c>
      <c r="E596" s="26" t="s">
        <v>1728</v>
      </c>
      <c r="F596" s="27" t="s">
        <v>861</v>
      </c>
      <c r="G596" s="27" t="s">
        <v>605</v>
      </c>
      <c r="H596" s="27"/>
      <c r="I596" s="6"/>
      <c r="J596" s="6"/>
      <c r="K596" s="6"/>
      <c r="L596" s="6"/>
      <c r="M596" s="6"/>
      <c r="N596" s="6"/>
      <c r="O596" s="27" t="s">
        <v>862</v>
      </c>
      <c r="P596" s="34"/>
      <c r="Q596" s="34" t="s">
        <v>1729</v>
      </c>
      <c r="R596" s="29"/>
    </row>
    <row r="597" spans="1:18" ht="17.25" customHeight="1">
      <c r="A597" s="35" t="s">
        <v>577</v>
      </c>
      <c r="B597" s="23" t="str" cm="1">
        <f t="array" ref="B597">_xlfn.TEXTJOIN(", ", TRUE(), _xlfn._xlws.FILTER(Spkrs_Rcrdngs[Speaker],Spkrs_Rcrdngs[Recording]=Rcrdngs[[#This Row],[Text]],"[no speaker selected in Speakers_in_Recordings]"))</f>
        <v>Harran03</v>
      </c>
      <c r="C597" s="24" t="str" cm="1">
        <f t="array" ref="C597">_xlfn.TEXTJOIN(", ", TRUE(), _xlfn._xlws.FILTER(Sbcts_Rcrdngs[Subject],Sbcts_Rcrdngs[Recording]=Rcrdngs[[#This Row],[Text]],"[no subject selected in Subjects_in_Recordings]"))</f>
        <v>Life Story of Father</v>
      </c>
      <c r="D597" s="25">
        <v>45971</v>
      </c>
      <c r="E597" s="26" t="s">
        <v>1730</v>
      </c>
      <c r="F597" s="27" t="s">
        <v>861</v>
      </c>
      <c r="G597" s="27" t="s">
        <v>605</v>
      </c>
      <c r="H597" s="27"/>
      <c r="I597" s="6"/>
      <c r="J597" s="6"/>
      <c r="K597" s="6"/>
      <c r="L597" s="6"/>
      <c r="M597" s="6"/>
      <c r="N597" s="6"/>
      <c r="O597" s="27" t="s">
        <v>862</v>
      </c>
      <c r="P597" s="34"/>
      <c r="Q597" s="28" t="s">
        <v>1731</v>
      </c>
      <c r="R597" s="29"/>
    </row>
    <row r="598" spans="1:18" ht="17.25" customHeight="1">
      <c r="A598" s="35" t="s">
        <v>578</v>
      </c>
      <c r="B598" s="23" t="str" cm="1">
        <f t="array" ref="B598">_xlfn.TEXTJOIN(", ", TRUE(), _xlfn._xlws.FILTER(Spkrs_Rcrdngs[Speaker],Spkrs_Rcrdngs[Recording]=Rcrdngs[[#This Row],[Text]],"[no speaker selected in Speakers_in_Recordings]"))</f>
        <v>Harran03</v>
      </c>
      <c r="C598" s="41" t="str" cm="1">
        <f t="array" ref="C598">_xlfn.TEXTJOIN(", ", TRUE(), _xlfn._xlws.FILTER(Sbcts_Rcrdngs[Subject],Sbcts_Rcrdngs[Recording]=Rcrdngs[[#This Row],[Text]],"[no subject selected in Subjects_in_Recordings]"))</f>
        <v>Life Story of Sister</v>
      </c>
      <c r="D598" s="25">
        <v>45971</v>
      </c>
      <c r="E598" s="26" t="s">
        <v>1732</v>
      </c>
      <c r="F598" s="27" t="s">
        <v>861</v>
      </c>
      <c r="G598" s="27" t="s">
        <v>605</v>
      </c>
      <c r="H598" s="27"/>
      <c r="I598" s="6"/>
      <c r="J598" s="6"/>
      <c r="K598" s="6"/>
      <c r="L598" s="6"/>
      <c r="M598" s="6"/>
      <c r="N598" s="6"/>
      <c r="O598" s="27" t="s">
        <v>862</v>
      </c>
      <c r="P598" s="34"/>
      <c r="Q598" s="34" t="s">
        <v>1733</v>
      </c>
      <c r="R598" s="29"/>
    </row>
    <row r="599" spans="1:18" ht="17.25" customHeight="1">
      <c r="A599" s="35" t="s">
        <v>579</v>
      </c>
      <c r="B599" s="23" t="str" cm="1">
        <f t="array" ref="B599">_xlfn.TEXTJOIN(", ", TRUE(), _xlfn._xlws.FILTER(Spkrs_Rcrdngs[Speaker],Spkrs_Rcrdngs[Recording]=Rcrdngs[[#This Row],[Text]],"[no speaker selected in Speakers_in_Recordings]"))</f>
        <v>Harran03</v>
      </c>
      <c r="C599" s="41" t="str" cm="1">
        <f t="array" ref="C599">_xlfn.TEXTJOIN(", ", TRUE(), _xlfn._xlws.FILTER(Sbcts_Rcrdngs[Subject],Sbcts_Rcrdngs[Recording]=Rcrdngs[[#This Row],[Text]],"[no subject selected in Subjects_in_Recordings]"))</f>
        <v>Life Story of Sister</v>
      </c>
      <c r="D599" s="25">
        <v>45971</v>
      </c>
      <c r="E599" s="26" t="s">
        <v>1734</v>
      </c>
      <c r="F599" s="27" t="s">
        <v>861</v>
      </c>
      <c r="G599" s="27" t="s">
        <v>605</v>
      </c>
      <c r="H599" s="27"/>
      <c r="I599" s="6"/>
      <c r="J599" s="6"/>
      <c r="K599" s="6"/>
      <c r="L599" s="6"/>
      <c r="M599" s="6"/>
      <c r="N599" s="6"/>
      <c r="O599" s="27" t="s">
        <v>862</v>
      </c>
      <c r="P599" s="34"/>
      <c r="Q599" s="34" t="s">
        <v>1735</v>
      </c>
      <c r="R599" s="29"/>
    </row>
    <row r="600" spans="1:18" ht="17.25" customHeight="1">
      <c r="A600" s="35" t="s">
        <v>580</v>
      </c>
      <c r="B600" s="23" t="str" cm="1">
        <f t="array" ref="B600">_xlfn.TEXTJOIN(", ", TRUE(), _xlfn._xlws.FILTER(Spkrs_Rcrdngs[Speaker],Spkrs_Rcrdngs[Recording]=Rcrdngs[[#This Row],[Text]],"[no speaker selected in Speakers_in_Recordings]"))</f>
        <v>Harran03</v>
      </c>
      <c r="C600" s="41" t="str" cm="1">
        <f t="array" ref="C600">_xlfn.TEXTJOIN(", ", TRUE(), _xlfn._xlws.FILTER(Sbcts_Rcrdngs[Subject],Sbcts_Rcrdngs[Recording]=Rcrdngs[[#This Row],[Text]],"[no subject selected in Subjects_in_Recordings]"))</f>
        <v>Life Story of Sister</v>
      </c>
      <c r="D600" s="25">
        <v>45971</v>
      </c>
      <c r="E600" s="26" t="s">
        <v>1736</v>
      </c>
      <c r="F600" s="27" t="s">
        <v>861</v>
      </c>
      <c r="G600" s="27" t="s">
        <v>605</v>
      </c>
      <c r="H600" s="27"/>
      <c r="I600" s="6"/>
      <c r="J600" s="6"/>
      <c r="K600" s="6"/>
      <c r="L600" s="6"/>
      <c r="M600" s="6"/>
      <c r="N600" s="6"/>
      <c r="O600" s="27" t="s">
        <v>862</v>
      </c>
      <c r="P600" s="34"/>
      <c r="Q600" s="34" t="s">
        <v>1737</v>
      </c>
      <c r="R600" s="29"/>
    </row>
    <row r="601" spans="1:18" ht="17.25" customHeight="1">
      <c r="A601" s="35" t="s">
        <v>581</v>
      </c>
      <c r="B601" s="23" t="str" cm="1">
        <f t="array" ref="B601">_xlfn.TEXTJOIN(", ", TRUE(), _xlfn._xlws.FILTER(Spkrs_Rcrdngs[Speaker],Spkrs_Rcrdngs[Recording]=Rcrdngs[[#This Row],[Text]],"[no speaker selected in Speakers_in_Recordings]"))</f>
        <v>Harran03</v>
      </c>
      <c r="C601" s="41" t="str" cm="1">
        <f t="array" ref="C601">_xlfn.TEXTJOIN(", ", TRUE(), _xlfn._xlws.FILTER(Sbcts_Rcrdngs[Subject],Sbcts_Rcrdngs[Recording]=Rcrdngs[[#This Row],[Text]],"[no subject selected in Subjects_in_Recordings]"))</f>
        <v>Life Story, First Years of marriage</v>
      </c>
      <c r="D601" s="25">
        <v>45971</v>
      </c>
      <c r="E601" s="26" t="s">
        <v>1738</v>
      </c>
      <c r="F601" s="27" t="s">
        <v>861</v>
      </c>
      <c r="G601" s="27" t="s">
        <v>605</v>
      </c>
      <c r="H601" s="27"/>
      <c r="I601" s="6"/>
      <c r="J601" s="6"/>
      <c r="K601" s="6"/>
      <c r="L601" s="6"/>
      <c r="M601" s="6"/>
      <c r="N601" s="6"/>
      <c r="O601" s="27" t="s">
        <v>862</v>
      </c>
      <c r="P601" s="34"/>
      <c r="Q601" s="34" t="s">
        <v>1739</v>
      </c>
      <c r="R601" s="29"/>
    </row>
    <row r="602" spans="1:18" ht="17.25" customHeight="1">
      <c r="A602" s="35" t="s">
        <v>582</v>
      </c>
      <c r="B602" s="23" t="str" cm="1">
        <f t="array" ref="B602">_xlfn.TEXTJOIN(", ", TRUE(), _xlfn._xlws.FILTER(Spkrs_Rcrdngs[Speaker],Spkrs_Rcrdngs[Recording]=Rcrdngs[[#This Row],[Text]],"[no speaker selected in Speakers_in_Recordings]"))</f>
        <v>Ziyara01</v>
      </c>
      <c r="C602" s="41" t="str" cm="1">
        <f t="array" ref="C602">_xlfn.TEXTJOIN(", ", TRUE(), _xlfn._xlws.FILTER(Sbcts_Rcrdngs[Subject],Sbcts_Rcrdngs[Recording]=Rcrdngs[[#This Row],[Text]],"[no subject selected in Subjects_in_Recordings]"))</f>
        <v>Three Advices</v>
      </c>
      <c r="D602" s="25">
        <v>45973</v>
      </c>
      <c r="E602" s="26" t="s">
        <v>1740</v>
      </c>
      <c r="F602" s="27" t="s">
        <v>861</v>
      </c>
      <c r="G602" s="27" t="s">
        <v>605</v>
      </c>
      <c r="H602" s="27"/>
      <c r="I602" s="6"/>
      <c r="J602" s="6"/>
      <c r="K602" s="6"/>
      <c r="L602" s="6"/>
      <c r="M602" s="6"/>
      <c r="N602" s="6"/>
      <c r="O602" s="27" t="s">
        <v>862</v>
      </c>
      <c r="P602" s="34"/>
      <c r="Q602" s="34" t="s">
        <v>1741</v>
      </c>
      <c r="R602" s="29"/>
    </row>
    <row r="603" spans="1:18" ht="17.25" customHeight="1">
      <c r="A603" s="35" t="s">
        <v>583</v>
      </c>
      <c r="B603" s="23" t="str" cm="1">
        <f t="array" ref="B603">_xlfn.TEXTJOIN(", ", TRUE(), _xlfn._xlws.FILTER(Spkrs_Rcrdngs[Speaker],Spkrs_Rcrdngs[Recording]=Rcrdngs[[#This Row],[Text]],"[no speaker selected in Speakers_in_Recordings]"))</f>
        <v>Harran04</v>
      </c>
      <c r="C603" s="41" t="str" cm="1">
        <f t="array" ref="C603">_xlfn.TEXTJOIN(", ", TRUE(), _xlfn._xlws.FILTER(Sbcts_Rcrdngs[Subject],Sbcts_Rcrdngs[Recording]=Rcrdngs[[#This Row],[Text]],"[no subject selected in Subjects_in_Recordings]"))</f>
        <v>Conversation</v>
      </c>
      <c r="D603" s="25">
        <v>46032</v>
      </c>
      <c r="E603" s="26" t="s">
        <v>1335</v>
      </c>
      <c r="F603" s="27" t="s">
        <v>1202</v>
      </c>
      <c r="G603" s="27" t="s">
        <v>605</v>
      </c>
      <c r="H603" s="27"/>
      <c r="I603" s="6"/>
      <c r="J603" s="6"/>
      <c r="K603" s="6"/>
      <c r="L603" s="6"/>
      <c r="M603" s="6"/>
      <c r="N603" s="6"/>
      <c r="O603" s="27" t="s">
        <v>862</v>
      </c>
      <c r="P603" s="34"/>
      <c r="Q603" s="34" t="s">
        <v>1742</v>
      </c>
      <c r="R603" s="29"/>
    </row>
    <row r="604" spans="1:18" ht="17.25" customHeight="1">
      <c r="A604" s="35" t="s">
        <v>584</v>
      </c>
      <c r="B604" s="23" t="str" cm="1">
        <f t="array" ref="B604">_xlfn.TEXTJOIN(", ", TRUE(), _xlfn._xlws.FILTER(Spkrs_Rcrdngs[Speaker],Spkrs_Rcrdngs[Recording]=Rcrdngs[[#This Row],[Text]],"[no speaker selected in Speakers_in_Recordings]"))</f>
        <v>Harran04</v>
      </c>
      <c r="C604" s="24" t="str" cm="1">
        <f t="array" ref="C604">_xlfn.TEXTJOIN(", ", TRUE(), _xlfn._xlws.FILTER(Sbcts_Rcrdngs[Subject],Sbcts_Rcrdngs[Recording]=Rcrdngs[[#This Row],[Text]],"[no subject selected in Subjects_in_Recordings]"))</f>
        <v>A Girl</v>
      </c>
      <c r="D604" s="25">
        <v>46032</v>
      </c>
      <c r="E604" s="26" t="s">
        <v>1743</v>
      </c>
      <c r="F604" s="27" t="s">
        <v>1202</v>
      </c>
      <c r="G604" s="27" t="s">
        <v>605</v>
      </c>
      <c r="H604" s="27"/>
      <c r="I604" s="6"/>
      <c r="J604" s="6"/>
      <c r="K604" s="6"/>
      <c r="L604" s="6"/>
      <c r="M604" s="6"/>
      <c r="N604" s="6"/>
      <c r="O604" s="27" t="s">
        <v>862</v>
      </c>
      <c r="P604" s="34"/>
      <c r="Q604" s="28" t="s">
        <v>1744</v>
      </c>
      <c r="R604" s="29"/>
    </row>
    <row r="605" spans="1:18" ht="17.25" customHeight="1">
      <c r="A605" s="35" t="s">
        <v>1745</v>
      </c>
      <c r="B605" s="23" t="str" cm="1">
        <f t="array" ref="B605">_xlfn.TEXTJOIN(", ", TRUE(), _xlfn._xlws.FILTER(Spkrs_Rcrdngs[Speaker],Spkrs_Rcrdngs[Recording]=Rcrdngs[[#This Row],[Text]],"[no speaker selected in Speakers_in_Recordings]"))</f>
        <v>Harran31, Harran02, Harran03</v>
      </c>
      <c r="C605" s="41" t="str" cm="1">
        <f t="array" ref="C605">_xlfn.TEXTJOIN(", ", TRUE(), _xlfn._xlws.FILTER(Sbcts_Rcrdngs[Subject],Sbcts_Rcrdngs[Recording]=Rcrdngs[[#This Row],[Text]],"[no subject selected in Subjects_in_Recordings]"))</f>
        <v>A Man Who Wants To Get Married</v>
      </c>
      <c r="D605" s="25">
        <v>46060</v>
      </c>
      <c r="E605" s="26" t="s">
        <v>1746</v>
      </c>
      <c r="F605" s="27" t="s">
        <v>1202</v>
      </c>
      <c r="G605" s="27" t="s">
        <v>605</v>
      </c>
      <c r="H605" s="27"/>
      <c r="I605" s="6"/>
      <c r="J605" s="6"/>
      <c r="K605" s="6"/>
      <c r="L605" s="6"/>
      <c r="M605" s="6"/>
      <c r="N605" s="6"/>
      <c r="O605" s="27" t="s">
        <v>862</v>
      </c>
      <c r="P605" s="34"/>
      <c r="Q605" s="34" t="s">
        <v>1747</v>
      </c>
      <c r="R605" s="29"/>
    </row>
    <row r="606" spans="1:18" ht="17.25" customHeight="1">
      <c r="A606" s="35"/>
      <c r="B606" s="23" t="str" cm="1">
        <f t="array" ref="B606">_xlfn.TEXTJOIN(", ", TRUE(), _xlfn._xlws.FILTER(Spkrs_Rcrdngs[Speaker],Spkrs_Rcrdngs[Recording]=Rcrdngs[[#This Row],[Text]],"[no speaker selected in Speakers_in_Recordings]"))</f>
        <v/>
      </c>
      <c r="C606" s="24" t="str" cm="1">
        <f t="array" ref="C606">_xlfn.TEXTJOIN(", ", TRUE(), _xlfn._xlws.FILTER(Sbcts_Rcrdngs[Subject],Sbcts_Rcrdngs[Recording]=Rcrdngs[[#This Row],[Text]],"[no subject selected in Subjects_in_Recordings]"))</f>
        <v/>
      </c>
      <c r="D606" s="25"/>
      <c r="E606" s="26"/>
      <c r="F606" s="27"/>
      <c r="G606" s="27"/>
      <c r="H606" s="27"/>
      <c r="I606" s="6"/>
      <c r="J606" s="6"/>
      <c r="K606" s="6"/>
      <c r="L606" s="6"/>
      <c r="M606" s="6"/>
      <c r="N606" s="6"/>
      <c r="O606" s="27"/>
      <c r="P606" s="34"/>
      <c r="Q606" s="28"/>
      <c r="R606" s="29"/>
    </row>
    <row r="607" spans="1:18" ht="17.25" customHeight="1">
      <c r="A607" s="35"/>
      <c r="B607" s="23" t="str" cm="1">
        <f t="array" ref="B607">_xlfn.TEXTJOIN(", ", TRUE(), _xlfn._xlws.FILTER(Spkrs_Rcrdngs[Speaker],Spkrs_Rcrdngs[Recording]=Rcrdngs[[#This Row],[Text]],"[no speaker selected in Speakers_in_Recordings]"))</f>
        <v/>
      </c>
      <c r="C607" s="41" t="str" cm="1">
        <f t="array" ref="C607">_xlfn.TEXTJOIN(", ", TRUE(), _xlfn._xlws.FILTER(Sbcts_Rcrdngs[Subject],Sbcts_Rcrdngs[Recording]=Rcrdngs[[#This Row],[Text]],"[no subject selected in Subjects_in_Recordings]"))</f>
        <v/>
      </c>
      <c r="D607" s="25"/>
      <c r="E607" s="26"/>
      <c r="F607" s="27"/>
      <c r="G607" s="27"/>
      <c r="H607" s="27"/>
      <c r="I607" s="6"/>
      <c r="J607" s="6"/>
      <c r="K607" s="6"/>
      <c r="L607" s="6"/>
      <c r="M607" s="6"/>
      <c r="N607" s="6"/>
      <c r="O607" s="27"/>
      <c r="P607" s="34"/>
      <c r="Q607" s="34"/>
      <c r="R607" s="29"/>
    </row>
    <row r="608" spans="1:18" ht="17.25" customHeight="1">
      <c r="A608" s="35"/>
      <c r="B608" s="23" t="str" cm="1">
        <f t="array" ref="B608">_xlfn.TEXTJOIN(", ", TRUE(), _xlfn._xlws.FILTER(Spkrs_Rcrdngs[Speaker],Spkrs_Rcrdngs[Recording]=Rcrdngs[[#This Row],[Text]],"[no speaker selected in Speakers_in_Recordings]"))</f>
        <v/>
      </c>
      <c r="C608" s="41" t="str" cm="1">
        <f t="array" ref="C608">_xlfn.TEXTJOIN(", ", TRUE(), _xlfn._xlws.FILTER(Sbcts_Rcrdngs[Subject],Sbcts_Rcrdngs[Recording]=Rcrdngs[[#This Row],[Text]],"[no subject selected in Subjects_in_Recordings]"))</f>
        <v/>
      </c>
      <c r="D608" s="25"/>
      <c r="E608" s="26"/>
      <c r="F608" s="27"/>
      <c r="G608" s="27"/>
      <c r="H608" s="27"/>
      <c r="I608" s="6"/>
      <c r="J608" s="6"/>
      <c r="K608" s="6"/>
      <c r="L608" s="6"/>
      <c r="M608" s="6"/>
      <c r="N608" s="6"/>
      <c r="O608" s="27"/>
      <c r="P608" s="34"/>
      <c r="Q608" s="34"/>
      <c r="R608" s="29"/>
    </row>
    <row r="609" spans="1:18" ht="17.25" customHeight="1">
      <c r="A609" s="35"/>
      <c r="B609" s="23" t="str" cm="1">
        <f t="array" ref="B609">_xlfn.TEXTJOIN(", ", TRUE(), _xlfn._xlws.FILTER(Spkrs_Rcrdngs[Speaker],Spkrs_Rcrdngs[Recording]=Rcrdngs[[#This Row],[Text]],"[no speaker selected in Speakers_in_Recordings]"))</f>
        <v/>
      </c>
      <c r="C609" s="41" t="str" cm="1">
        <f t="array" ref="C609">_xlfn.TEXTJOIN(", ", TRUE(), _xlfn._xlws.FILTER(Sbcts_Rcrdngs[Subject],Sbcts_Rcrdngs[Recording]=Rcrdngs[[#This Row],[Text]],"[no subject selected in Subjects_in_Recordings]"))</f>
        <v/>
      </c>
      <c r="D609" s="25"/>
      <c r="E609" s="26"/>
      <c r="F609" s="27"/>
      <c r="G609" s="27"/>
      <c r="H609" s="27"/>
      <c r="I609" s="6"/>
      <c r="J609" s="6"/>
      <c r="K609" s="6"/>
      <c r="L609" s="6"/>
      <c r="M609" s="6"/>
      <c r="N609" s="6"/>
      <c r="O609" s="27"/>
      <c r="P609" s="34"/>
      <c r="Q609" s="34"/>
      <c r="R609" s="29"/>
    </row>
  </sheetData>
  <conditionalFormatting sqref="A2:Q609">
    <cfRule type="containsBlanks" dxfId="33" priority="4">
      <formula>LEN(TRIM(A2))=0</formula>
    </cfRule>
  </conditionalFormatting>
  <conditionalFormatting sqref="B2:C609">
    <cfRule type="beginsWith" dxfId="32" priority="5" operator="beginsWith" text="[no">
      <formula>LEFT(B2,LEN("[no"))="[no"</formula>
    </cfRule>
  </conditionalFormatting>
  <dataValidations count="6">
    <dataValidation type="list" allowBlank="1" showInputMessage="1" showErrorMessage="1" sqref="I2:I8 K2:K8 F1:F1048576 I9:N1048576 H2:H1048576" xr:uid="{0EFEC9C9-C240-40DA-8DBE-E763A82D8241}">
      <formula1>INDIRECT("Team[Full Name]")</formula1>
    </dataValidation>
    <dataValidation allowBlank="1" showInputMessage="1" showErrorMessage="1" sqref="G1 P2:Q609" xr:uid="{30336511-EA37-4AD6-976D-6D9644E69D18}"/>
    <dataValidation type="list" showInputMessage="1" showErrorMessage="1" sqref="X8:X1048576" xr:uid="{00000000-0002-0000-0100-000000000000}">
      <formula1>"Y,N"</formula1>
    </dataValidation>
    <dataValidation type="list" allowBlank="1" showInputMessage="1" showErrorMessage="1" sqref="O2:O609" xr:uid="{00000000-0002-0000-0100-000002000000}">
      <formula1>INDIRECT("Plcs[PlaceName]")</formula1>
    </dataValidation>
    <dataValidation type="date" showInputMessage="1" showErrorMessage="1" sqref="D1:D1048576" xr:uid="{00000000-0002-0000-0100-000005000000}">
      <formula1>29221</formula1>
      <formula2>47848</formula2>
    </dataValidation>
    <dataValidation type="list" allowBlank="1" showInputMessage="1" showErrorMessage="1" sqref="G2:G1048576" xr:uid="{AD028082-C8F2-46A5-9FA8-E2E8F2833780}">
      <formula1>"Yes,No"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6"/>
  <sheetViews>
    <sheetView tabSelected="1" topLeftCell="A27" workbookViewId="0">
      <selection activeCell="E42" sqref="E42"/>
    </sheetView>
  </sheetViews>
  <sheetFormatPr defaultColWidth="8.7109375" defaultRowHeight="14.45"/>
  <cols>
    <col min="1" max="5" width="18.7109375" customWidth="1"/>
    <col min="6" max="6" width="36" customWidth="1"/>
    <col min="7" max="7" width="36" style="16" bestFit="1" customWidth="1"/>
  </cols>
  <sheetData>
    <row r="1" spans="1:7">
      <c r="A1" t="s">
        <v>585</v>
      </c>
      <c r="B1" t="s">
        <v>1748</v>
      </c>
      <c r="C1" t="s">
        <v>1749</v>
      </c>
      <c r="D1" t="s">
        <v>1750</v>
      </c>
      <c r="E1" t="s">
        <v>1751</v>
      </c>
      <c r="F1" t="s">
        <v>6</v>
      </c>
      <c r="G1" t="s">
        <v>1752</v>
      </c>
    </row>
    <row r="2" spans="1:7">
      <c r="A2" t="s">
        <v>1753</v>
      </c>
      <c r="B2" t="s">
        <v>1754</v>
      </c>
      <c r="E2" t="s">
        <v>862</v>
      </c>
      <c r="F2" t="s">
        <v>1755</v>
      </c>
      <c r="G2" s="16" t="str" cm="1">
        <f t="array" ref="G2">_xlfn.TEXTJOIN(", ",TRUE(),_xlfn._xlws.FILTER(Spkrs_Rcrdngs[Recording],Spkrs_Rcrdngs[Speaker]=_xlfn.SINGLE(Spkrs[Speaker]),"N/A"))</f>
        <v>URFA-377, URFA-379a, URFA-379b, URFA-379c, URFA-379d, URFA-379e, URFA-381, URFA-393, URFA-394</v>
      </c>
    </row>
    <row r="3" spans="1:7">
      <c r="A3" t="s">
        <v>1756</v>
      </c>
      <c r="B3" t="s">
        <v>1754</v>
      </c>
      <c r="E3" t="s">
        <v>862</v>
      </c>
      <c r="F3" t="s">
        <v>1757</v>
      </c>
      <c r="G3" s="16" t="str" cm="1">
        <f t="array" ref="G3">_xlfn.TEXTJOIN(", ",TRUE(),_xlfn._xlws.FILTER(Spkrs_Rcrdngs[Recording],Spkrs_Rcrdngs[Speaker]=_xlfn.SINGLE(Spkrs[Speaker]),"N/A"))</f>
        <v>URFA-379a, URFA-379b, URFA-379c, URFA-379d, URFA-379e, URFA-441, URFA-444, URFA-445, URFA-446, URFA-447, URFA-448, URFA-449</v>
      </c>
    </row>
    <row r="4" spans="1:7">
      <c r="A4" t="s">
        <v>1758</v>
      </c>
      <c r="B4" t="s">
        <v>1754</v>
      </c>
      <c r="E4" t="s">
        <v>862</v>
      </c>
      <c r="F4" t="s">
        <v>1759</v>
      </c>
      <c r="G4" s="16" t="str" cm="1">
        <f t="array" ref="G4">_xlfn.TEXTJOIN(", ",TRUE(),_xlfn._xlws.FILTER(Spkrs_Rcrdngs[Recording],Spkrs_Rcrdngs[Speaker]=_xlfn.SINGLE(Spkrs[Speaker]),"N/A"))</f>
        <v>URFA-380, URFA-389, URFA-390, URFA-391, URFA-392, URFA-439, URFA-440</v>
      </c>
    </row>
    <row r="5" spans="1:7">
      <c r="A5" t="s">
        <v>1760</v>
      </c>
      <c r="B5" t="s">
        <v>1754</v>
      </c>
      <c r="C5">
        <v>1960</v>
      </c>
      <c r="E5" t="s">
        <v>862</v>
      </c>
      <c r="F5" t="s">
        <v>1761</v>
      </c>
      <c r="G5" s="16" t="str" cm="1">
        <f t="array" ref="G5">_xlfn.TEXTJOIN(", ",TRUE(),_xlfn._xlws.FILTER(Spkrs_Rcrdngs[Recording],Spkrs_Rcrdngs[Speaker]=_xlfn.SINGLE(Spkrs[Speaker]),"N/A"))</f>
        <v>URFA-384, URFA-385, URFA-386, URFA-387, URFA-388, URFA-437, URFA-438a, URFA-438b, URFA-439, URFA-440, URFA-442, URFA-443, URFA-444, URFA-445, URFA-446, URFA-447, URFA-448, URFA-449, URFA-451, URFA-452, URFA-453, URFA-454, URFA-455</v>
      </c>
    </row>
    <row r="6" spans="1:7">
      <c r="A6" t="s">
        <v>1762</v>
      </c>
      <c r="B6" t="s">
        <v>1754</v>
      </c>
      <c r="E6" t="s">
        <v>862</v>
      </c>
      <c r="F6" t="s">
        <v>1763</v>
      </c>
      <c r="G6" s="16" t="str" cm="1">
        <f t="array" ref="G6">_xlfn.TEXTJOIN(", ",TRUE(),_xlfn._xlws.FILTER(Spkrs_Rcrdngs[Recording],Spkrs_Rcrdngs[Speaker]=_xlfn.SINGLE(Spkrs[Speaker]),"N/A"))</f>
        <v>URFA-443</v>
      </c>
    </row>
    <row r="7" spans="1:7">
      <c r="A7" t="s">
        <v>1764</v>
      </c>
      <c r="B7" t="s">
        <v>1754</v>
      </c>
      <c r="C7">
        <v>1962</v>
      </c>
      <c r="E7" s="42" t="s">
        <v>862</v>
      </c>
      <c r="F7" t="s">
        <v>8</v>
      </c>
      <c r="G7" s="16" t="str" cm="1">
        <f t="array" ref="G7">_xlfn.TEXTJOIN(", ",TRUE(),_xlfn._xlws.FILTER(Spkrs_Rcrdngs[Recording],Spkrs_Rcrdngs[Speaker]=_xlfn.SINGLE(Spkrs[Speaker]),"N/A"))</f>
        <v>URFA-000, URFA-000-U1a, URFA-001, URFA-002, URFA-002-a, URFA-002-b, URFA-002-c, URFA-003, URFA-005, URFA-006, URFA-008, URFA-011, URFA-012, URFA-014, URFA-016, URFA-018, URFA-019, URFA-021, URFA-022, URFA-024, URFA-024a, URFA-024b, URFA-026, URFA-027, URFA-029, URFA-030, URFA-032, URFA-033, URFA-034, URFA-035, URFA-040, URFA-041, URFA-042, URFA-043, URFA-044, URFA-045, URFA-046, URFA-047, URFA-048, URFA-051, URFA-052, URFA-053, URFA-054, URFA-055, URFA-056, URFA-057, URFA-058, URFA-059, URFA-060, URFA-061, URFA-062, URFA-063, URFA-065, URFA-066, URFA-067, URFA-068, URFA-069, URFA-069a, URFA-069b, URFA-070, URFA-071, URFA-072, URFA-073, URFA-074, URFA-075, URFA-076, URFA-077, URFA-077a, URFA-077b, URFA-077c, URFA-077d, URFA-077e, URFA-078, URFA-079, URFA-080, URFA-081, URFA-082, URFA-083, URFA-084, URFA-085, URFA-086, URFA-087, URFA-089, URFA-090, URFA-092, URFA-093, URFA-094, URFA-095, URFA-097, URFA-098, URFA-099, URFA-100, URFA-101, URFA-105, URFA-108, URFA-112, URFA-113, URFA-114, URFA-115, URFA-116, URFA-117, URFA-118, URFA-119, URFA-120, URFA-121, URFA-122, URFA-123, URFA-124, URFA-125, URFA-133, URFA-134, URFA-135, URFA-136, URFA-137, URFA-138, URFA-139, URFA-140, URFA-141, URFA-142, URFA-143, URFA-148, URFA-150, URFA-151, URFA-152, URFA-153, URFA-160, URFA-163, URFA-164, URFA-172, URFA-176, URFA-184, URFA-185, URFA-187, URFA-197, URFA-198, URFA-199, URFA-200, URFA-201, URFA-287, URFA-288, URFA-289, URFA-294, URFA-298, URFA-302, URFA-303, URFA-304, URFA-305, URFA-308, URFA-310, URFA-312, URFA-314, URFA-315, URFA-316, URFA-319, URFA-352, URFA-353, URFA-354, URFA-355, URFA-356, URFA-357, URFA-358, URFA-359, URFA-360, URFA-361, URFA-362, URFA-363, URFA-364, URFA-365, URFA-366, URFA-367, URFA-368, URFA-369, URFA-370, URFA-371, URFA-373</v>
      </c>
    </row>
    <row r="8" spans="1:7">
      <c r="A8" t="s">
        <v>1765</v>
      </c>
      <c r="B8" t="s">
        <v>1754</v>
      </c>
      <c r="C8">
        <v>1968</v>
      </c>
      <c r="E8" s="42" t="s">
        <v>862</v>
      </c>
      <c r="F8" t="s">
        <v>46</v>
      </c>
      <c r="G8" s="16" t="str" cm="1">
        <f t="array" ref="G8">_xlfn.TEXTJOIN(", ",TRUE(),_xlfn._xlws.FILTER(Spkrs_Rcrdngs[Recording],Spkrs_Rcrdngs[Speaker]=_xlfn.SINGLE(Spkrs[Speaker]),"N/A"))</f>
        <v>URFA-003, URFA-005, URFA-006, URFA-008, URFA-011, URFA-012, URFA-013, URFA-014, URFA-016, URFA-018, URFA-019, URFA-021, URFA-022, URFA-024, URFA-024a, URFA-024b, URFA-026, URFA-027, URFA-029, URFA-030, URFA-032, URFA-033, URFA-034, URFA-035, URFA-040, URFA-041, URFA-042, URFA-043, URFA-044, URFA-045, URFA-046, URFA-047, URFA-048, URFA-051, URFA-052, URFA-053, URFA-054, URFA-055, URFA-056, URFA-058, URFA-059, URFA-060, URFA-061, URFA-062, URFA-063, URFA-066, URFA-067, URFA-070, URFA-071, URFA-072, URFA-073, URFA-074, URFA-075, URFA-076, URFA-077, URFA-077a, URFA-077b, URFA-077c, URFA-077d, URFA-077e, URFA-078, URFA-079, URFA-080, URFA-082, URFA-083, URFA-084, URFA-085, URFA-086, URFA-087, URFA-089, URFA-090, URFA-092, URFA-093, URFA-094, URFA-095, URFA-097, URFA-098, URFA-099, URFA-100, URFA-101, URFA-107, URFA-111, URFA-113, URFA-114, URFA-116, URFA-117, URFA-118, URFA-119, URFA-120, URFA-121, URFA-122, URFA-123, URFA-124, URFA-125, URFA-134, URFA-135, URFA-136, URFA-137, URFA-138, URFA-140, URFA-142, URFA-148, URFA-149, URFA-151, URFA-152, URFA-153, URFA-155, URFA-157, URFA-160, URFA-161, URFA-165, URFA-166, URFA-167, URFA-168, URFA-169, URFA-170, URFA-171, URFA-172, URFA-174, URFA-177, URFA-183, URFA-184, URFA-185, URFA-186, URFA-187, URFA-188, URFA-189, URFA-190, URFA-191, URFA-192, URFA-193, URFA-194, URFA-195, URFA-196, URFA-197, URFA-198, URFA-199, URFA-200, URFA-201, URFA-287, URFA-298, URFA-302, URFA-303, URFA-304, URFA-305, URFA-306, URFA-307, URFA-308, URFA-310, URFA-315, URFA-317, URFA-319, URFA-324, URFA-325, URFA-326, URFA-327, URFA-328, URFA-329, URFA-330, URFA-331, URFA-332, URFA-333, URFA-335, URFA-336, URFA-337, URFA-339, URFA-340, URFA-342, URFA-343, URFA-344, URFA-345, URFA-346, URFA-347, URFA-348, URFA-349, URFA-350, URFA-351, URFA-355, URFA-356, URFA-357, URFA-358, URFA-359, URFA-360, URFA-361, URFA-362, URFA-364, URFA-365, URFA-366, URFA-367, URFA-368, URFA-369, URFA-370, URFA-371, URFA-372, URFA-373, URFA-374, URFA-375, URFA-376, URFA-377, URFA-378, URFA-379a, URFA-379b, URFA-379c, URFA-379d, URFA-379e, URFA-380, URFA-381, URFA-382, URFA-383, URFA-384, URFA-385, URFA-386, URFA-387, URFA-388, URFA-389, URFA-390, URFA-391, URFA-392, URFA-393, URFA-394, URFA-395, URFA-396, URFA-397, URFA-398, URFA-399, URFA-400, URFA-431, URFA-432, URFA-433, URFA-434, URFA-435, URFA-436, URFA-437, URFA-438a, URFA-438b, URFA-439, URFA-440, URFA-442, URFA-443, URFA-444, URFA-445, URFA-446, URFA-447, URFA-448, URFA-449, URFA-450, URFA-451, URFA-452, URFA-453, URFA-454, URFA-455, URFA-456, URFA-458, URFA-483, URFA-487, URFA-488, URFA-489, URFA-493, URFA-494, URFA-496, URFA-497, URFA-498, URFA-499, URFA-500, URFA-501, URFA-506, URFA-507, URFA-508, URFA-509, URFA-511, URFA-512, URFA-513, URFA-517, URFA-518, URFA-519, URFA-520, URFA-521, URFA-532, URFA-538, URFA-550, URFA-557, URFA-558, URFA-559, URFA-560, URFA-561, URFA-563, URFA-564, URFA-568, URFA-569, URFA-570, URFA-571, URFA-572, URFA-574, URFA-575, URFA-576, URFA-577, URFA-593, URFA-598, URFA-604, URFA-615</v>
      </c>
    </row>
    <row r="9" spans="1:7">
      <c r="A9" t="s">
        <v>1766</v>
      </c>
      <c r="B9" t="s">
        <v>1767</v>
      </c>
      <c r="C9">
        <v>1974</v>
      </c>
      <c r="E9" s="42" t="s">
        <v>862</v>
      </c>
      <c r="F9" t="s">
        <v>1768</v>
      </c>
      <c r="G9" s="16" t="str" cm="1">
        <f t="array" ref="G9">_xlfn.TEXTJOIN(", ",TRUE(),_xlfn._xlws.FILTER(Spkrs_Rcrdngs[Recording],Spkrs_Rcrdngs[Speaker]=_xlfn.SINGLE(Spkrs[Speaker]),"N/A"))</f>
        <v>URFA-090, URFA-135, URFA-136, URFA-137, URFA-138, URFA-139, URFA-140, URFA-141, URFA-142, URFA-143, URFA-144, URFA-145, URFA-146, URFA-147, URFA-149, URFA-150, URFA-151, URFA-153, URFA-154, URFA-155, URFA-156, URFA-157, URFA-158, URFA-159, URFA-160, URFA-162, URFA-163, URFA-164, URFA-165, URFA-175, URFA-176, URFA-177, URFA-178, URFA-179, URFA-180, URFA-181, URFA-182, URFA-204, URFA-205, URFA-206, URFA-207a, URFA-207b, URFA-288, URFA-289, URFA-294, URFA-312, URFA-314, URFA-315, URFA-316, URFA-317, URFA-319, URFA-323, URFA-334, URFA-337, URFA-338, URFA-352, URFA-353, URFA-354, URFA-355, URFA-356, URFA-358, URFA-359, URFA-360, URFA-365, URFA-366, URFA-367, URFA-369, URFA-395, URFA-403, URFA-404, URFA-435, URFA-460, URFA-461, URFA-462, URFA-463, URFA-476, URFA-484, URFA-485, URFA-486, URFA-487, URFA-510, URFA-514, URFA-515, URFA-516, URFA-517, URFA-520, URFA-521, URFA-522, URFA-523, URFA-524, URFA-525, URFA-526, URFA-527, URFA-528, URFA-529, URFA-539, URFA-540, URFA-544, URFA-545, URFA-546, URFA-547, URFA-554, URFA-555, URFA-556, URFA-560, URFA-561, URFA-562, URFA-563, URFA-564, URFA-565, URFA-566, URFA-594, URFA-595, URFA-596, URFA-597, URFA-599, URFA-600, URFA-601, URFA-602, URFA-603, URFA-605, URFA-606, URFA-607, URFA-608, URFA-609, URFA-610, URFA-611, URFA-615</v>
      </c>
    </row>
    <row r="10" spans="1:7">
      <c r="A10" t="s">
        <v>1769</v>
      </c>
      <c r="B10" t="s">
        <v>1767</v>
      </c>
      <c r="C10">
        <v>1940</v>
      </c>
      <c r="E10" s="42" t="s">
        <v>862</v>
      </c>
      <c r="F10" t="s">
        <v>1770</v>
      </c>
      <c r="G10" s="16" t="str" cm="1">
        <f t="array" ref="G10">_xlfn.TEXTJOIN(", ",TRUE(),_xlfn._xlws.FILTER(Spkrs_Rcrdngs[Recording],Spkrs_Rcrdngs[Speaker]=_xlfn.SINGLE(Spkrs[Speaker]),"N/A"))</f>
        <v>URFA-202, URFA-203, URFA-204, URFA-205, URFA-206, URFA-207a, URFA-207b, URFA-323, URFA-325, URFA-326, URFA-327, URFA-328, URFA-329, URFA-347, URFA-351, URFA-395, URFA-436, URFA-459, URFA-487, URFA-488, URFA-489, URFA-490, URFA-491, URFA-493, URFA-499, URFA-500, URFA-501, URFA-502, URFA-503, URFA-504, URFA-505, URFA-534, URFA-550, URFA-552, URFA-553, URFA-554, URFA-555, URFA-556, URFA-557, URFA-558, URFA-559, URFA-560, URFA-561, URFA-562, URFA-563, URFA-564, URFA-565, URFA-566, URFA-567, URFA-568, URFA-569, URFA-570, URFA-571, URFA-572, URFA-573, URFA-574, URFA-575, URFA-576, URFA-577, URFA-578, URFA-579, URFA-580, URFA-581, URFA-582, URFA-583, URFA-584, URFA-585, URFA-586, URFA-587, URFA-588, URFA-589, URFA-590, URFA-591, URFA-613, URFA-614</v>
      </c>
    </row>
    <row r="11" spans="1:7">
      <c r="A11" t="s">
        <v>1771</v>
      </c>
      <c r="B11" t="s">
        <v>1754</v>
      </c>
      <c r="C11">
        <v>1912</v>
      </c>
      <c r="E11" s="42" t="s">
        <v>862</v>
      </c>
      <c r="F11" t="s">
        <v>1772</v>
      </c>
      <c r="G11" s="16" t="str" cm="1">
        <f t="array" ref="G11">_xlfn.TEXTJOIN(", ",TRUE(),_xlfn._xlws.FILTER(Spkrs_Rcrdngs[Recording],Spkrs_Rcrdngs[Speaker]=_xlfn.SINGLE(Spkrs[Speaker]),"N/A"))</f>
        <v>URFA-026, URFA-027</v>
      </c>
    </row>
    <row r="12" spans="1:7">
      <c r="A12" t="s">
        <v>1773</v>
      </c>
      <c r="B12" t="s">
        <v>1767</v>
      </c>
      <c r="C12">
        <v>1948</v>
      </c>
      <c r="E12" t="s">
        <v>862</v>
      </c>
      <c r="F12" t="s">
        <v>1774</v>
      </c>
      <c r="G12" s="16" t="str" cm="1">
        <f t="array" ref="G12">_xlfn.TEXTJOIN(", ",TRUE(),_xlfn._xlws.FILTER(Spkrs_Rcrdngs[Recording],Spkrs_Rcrdngs[Speaker]=_xlfn.SINGLE(Spkrs[Speaker]),"N/A"))</f>
        <v>URFA-056, URFA-057, URFA-060, URFA-061, URFA-063, URFA-173, URFA-174, URFA-374, URFA-376, URFA-382, URFA-383, URFA-433, URFA-434, URFA-435, URFA-456, URFA-457, URFA-458, URFA-494, URFA-495, URFA-506, URFA-507, URFA-508, URFA-509, URFA-512, URFA-513, URFA-528, URFA-529, URFA-541, URFA-542, URFA-543, URFA-550, URFA-551, URFA-592, URFA-593</v>
      </c>
    </row>
    <row r="13" spans="1:7">
      <c r="A13" t="s">
        <v>1775</v>
      </c>
      <c r="B13" t="s">
        <v>1754</v>
      </c>
      <c r="E13" t="s">
        <v>862</v>
      </c>
      <c r="F13" t="s">
        <v>1776</v>
      </c>
      <c r="G13" s="16" t="str" cm="1">
        <f t="array" ref="G13">_xlfn.TEXTJOIN(", ",TRUE(),_xlfn._xlws.FILTER(Spkrs_Rcrdngs[Recording],Spkrs_Rcrdngs[Speaker]=_xlfn.SINGLE(Spkrs[Speaker]),"N/A"))</f>
        <v>URFA-056, URFA-058, URFA-060, URFA-061, URFA-065</v>
      </c>
    </row>
    <row r="14" spans="1:7">
      <c r="A14" t="s">
        <v>1777</v>
      </c>
      <c r="B14" t="s">
        <v>1754</v>
      </c>
      <c r="E14" t="s">
        <v>862</v>
      </c>
      <c r="F14" t="s">
        <v>1778</v>
      </c>
      <c r="G14" s="16" t="str" cm="1">
        <f t="array" ref="G14">_xlfn.TEXTJOIN(", ",TRUE(),_xlfn._xlws.FILTER(Spkrs_Rcrdngs[Recording],Spkrs_Rcrdngs[Speaker]=_xlfn.SINGLE(Spkrs[Speaker]),"N/A"))</f>
        <v>URFA-013, URFA-014, URFA-027, URFA-029</v>
      </c>
    </row>
    <row r="15" spans="1:7">
      <c r="A15" t="s">
        <v>1779</v>
      </c>
      <c r="B15" t="s">
        <v>1754</v>
      </c>
      <c r="E15" t="s">
        <v>862</v>
      </c>
      <c r="F15" t="s">
        <v>1780</v>
      </c>
      <c r="G15" s="16" t="str" cm="1">
        <f t="array" ref="G15">_xlfn.TEXTJOIN(", ",TRUE(),_xlfn._xlws.FILTER(Spkrs_Rcrdngs[Recording],Spkrs_Rcrdngs[Speaker]=_xlfn.SINGLE(Spkrs[Speaker]),"N/A"))</f>
        <v>URFA-107, URFA-111, URFA-113, URFA-114, URFA-115, URFA-116, URFA-117, URFA-118</v>
      </c>
    </row>
    <row r="16" spans="1:7">
      <c r="A16" t="s">
        <v>1781</v>
      </c>
      <c r="E16" t="s">
        <v>862</v>
      </c>
      <c r="F16" t="s">
        <v>1782</v>
      </c>
      <c r="G16" s="16" t="str" cm="1">
        <f t="array" ref="G16">_xlfn.TEXTJOIN(", ",TRUE(),_xlfn._xlws.FILTER(Spkrs_Rcrdngs[Recording],Spkrs_Rcrdngs[Speaker]=_xlfn.SINGLE(Spkrs[Speaker]),"N/A"))</f>
        <v>URFA-127, URFA-128, URFA-129, URFA-130, URFA-131, URFA-132, URFA-308, URFA-320, URFA-321, URFA-322</v>
      </c>
    </row>
    <row r="17" spans="1:7">
      <c r="A17" t="s">
        <v>1783</v>
      </c>
      <c r="B17" t="s">
        <v>1754</v>
      </c>
      <c r="C17">
        <v>1936</v>
      </c>
      <c r="E17" t="s">
        <v>862</v>
      </c>
      <c r="F17" t="s">
        <v>1784</v>
      </c>
      <c r="G17" s="16" t="str" cm="1">
        <f t="array" ref="G17">_xlfn.TEXTJOIN(", ",TRUE(),_xlfn._xlws.FILTER(Spkrs_Rcrdngs[Recording],Spkrs_Rcrdngs[Speaker]=_xlfn.SINGLE(Spkrs[Speaker]),"N/A"))</f>
        <v>URFA-298, URFA-302, URFA-303, URFA-304, URFA-305, URFA-306, URFA-307, URFA-308, URFA-310</v>
      </c>
    </row>
    <row r="18" spans="1:7">
      <c r="A18" t="s">
        <v>1785</v>
      </c>
      <c r="B18" t="s">
        <v>1754</v>
      </c>
      <c r="E18" t="s">
        <v>862</v>
      </c>
      <c r="F18" t="s">
        <v>1786</v>
      </c>
      <c r="G18" s="16" t="str" cm="1">
        <f t="array" ref="G18">_xlfn.TEXTJOIN(", ",TRUE(),_xlfn._xlws.FILTER(Spkrs_Rcrdngs[Recording],Spkrs_Rcrdngs[Speaker]=_xlfn.SINGLE(Spkrs[Speaker]),"N/A"))</f>
        <v>URFA-306, URFA-307, URFA-308</v>
      </c>
    </row>
    <row r="19" spans="1:7">
      <c r="A19" t="s">
        <v>1787</v>
      </c>
      <c r="B19" t="s">
        <v>1767</v>
      </c>
      <c r="E19" t="s">
        <v>862</v>
      </c>
      <c r="F19" t="s">
        <v>1788</v>
      </c>
      <c r="G19" s="16" t="str" cm="1">
        <f t="array" ref="G19">_xlfn.TEXTJOIN(", ",TRUE(),_xlfn._xlws.FILTER(Spkrs_Rcrdngs[Recording],Spkrs_Rcrdngs[Speaker]=_xlfn.SINGLE(Spkrs[Speaker]),"N/A"))</f>
        <v>URFA-306, URFA-307, URFA-308, URFA-310</v>
      </c>
    </row>
    <row r="20" spans="1:7">
      <c r="A20" t="s">
        <v>1789</v>
      </c>
      <c r="B20" t="s">
        <v>1754</v>
      </c>
      <c r="E20" t="s">
        <v>862</v>
      </c>
      <c r="F20" t="s">
        <v>1790</v>
      </c>
      <c r="G20" s="16" t="str" cm="1">
        <f t="array" ref="G20">_xlfn.TEXTJOIN(", ",TRUE(),_xlfn._xlws.FILTER(Spkrs_Rcrdngs[Recording],Spkrs_Rcrdngs[Speaker]=_xlfn.SINGLE(Spkrs[Speaker]),"N/A"))</f>
        <v>URFA-332, URFA-333, URFA-340, URFA-342, URFA-343, URFA-344, URFA-345, URFA-346, URFA-348, URFA-349, URFA-350, URFA-377, URFA-378, URFA-441, URFA-450, URFA-451, URFA-452, URFA-453, URFA-454, URFA-455</v>
      </c>
    </row>
    <row r="21" spans="1:7">
      <c r="A21" t="s">
        <v>1791</v>
      </c>
      <c r="B21" t="s">
        <v>1754</v>
      </c>
      <c r="E21" t="s">
        <v>862</v>
      </c>
      <c r="F21" t="s">
        <v>1792</v>
      </c>
      <c r="G21" s="16" t="str" cm="1">
        <f t="array" ref="G21">_xlfn.TEXTJOIN(", ",TRUE(),_xlfn._xlws.FILTER(Spkrs_Rcrdngs[Recording],Spkrs_Rcrdngs[Speaker]=_xlfn.SINGLE(Spkrs[Speaker]),"N/A"))</f>
        <v>URFA-333</v>
      </c>
    </row>
    <row r="22" spans="1:7">
      <c r="A22" t="s">
        <v>1793</v>
      </c>
      <c r="B22" t="s">
        <v>1767</v>
      </c>
      <c r="E22" t="s">
        <v>862</v>
      </c>
      <c r="F22" t="s">
        <v>1794</v>
      </c>
      <c r="G22" s="16" t="str" cm="1">
        <f t="array" ref="G22">_xlfn.TEXTJOIN(", ",TRUE(),_xlfn._xlws.FILTER(Spkrs_Rcrdngs[Recording],Spkrs_Rcrdngs[Speaker]=_xlfn.SINGLE(Spkrs[Speaker]),"N/A"))</f>
        <v>URFA-334</v>
      </c>
    </row>
    <row r="23" spans="1:7">
      <c r="A23" t="s">
        <v>1795</v>
      </c>
      <c r="B23" t="s">
        <v>1754</v>
      </c>
      <c r="C23">
        <v>1977</v>
      </c>
      <c r="E23" t="s">
        <v>862</v>
      </c>
      <c r="F23" t="s">
        <v>1796</v>
      </c>
      <c r="G23" s="16" t="str" cm="1">
        <f t="array" ref="G23">_xlfn.TEXTJOIN(", ",TRUE(),_xlfn._xlws.FILTER(Spkrs_Rcrdngs[Recording],Spkrs_Rcrdngs[Speaker]=_xlfn.SINGLE(Spkrs[Speaker]),"N/A"))</f>
        <v>URFA-358, URFA-359, URFA-360, URFA-361</v>
      </c>
    </row>
    <row r="24" spans="1:7">
      <c r="A24" t="s">
        <v>1797</v>
      </c>
      <c r="B24" t="s">
        <v>1754</v>
      </c>
      <c r="E24" t="s">
        <v>862</v>
      </c>
      <c r="F24" t="s">
        <v>1798</v>
      </c>
      <c r="G24" s="16" t="str" cm="1">
        <f t="array" ref="G24">_xlfn.TEXTJOIN(", ",TRUE(),_xlfn._xlws.FILTER(Spkrs_Rcrdngs[Recording],Spkrs_Rcrdngs[Speaker]=_xlfn.SINGLE(Spkrs[Speaker]),"N/A"))</f>
        <v>URFA-477, URFA-478, URFA-479, URFA-480, URFA-481, URFA-482</v>
      </c>
    </row>
    <row r="25" spans="1:7">
      <c r="A25" t="s">
        <v>1799</v>
      </c>
      <c r="B25" t="s">
        <v>1754</v>
      </c>
      <c r="E25" t="s">
        <v>862</v>
      </c>
      <c r="F25" t="s">
        <v>1800</v>
      </c>
      <c r="G25" s="16" t="str" cm="1">
        <f t="array" ref="G25">_xlfn.TEXTJOIN(", ",TRUE(),_xlfn._xlws.FILTER(Spkrs_Rcrdngs[Recording],Spkrs_Rcrdngs[Speaker]=_xlfn.SINGLE(Spkrs[Speaker]),"N/A"))</f>
        <v>URFA-492</v>
      </c>
    </row>
    <row r="26" spans="1:7">
      <c r="A26" t="s">
        <v>1801</v>
      </c>
      <c r="B26" t="s">
        <v>1754</v>
      </c>
      <c r="C26">
        <v>1964</v>
      </c>
      <c r="E26" t="s">
        <v>862</v>
      </c>
      <c r="F26" t="s">
        <v>1802</v>
      </c>
      <c r="G26" s="16" t="str" cm="1">
        <f t="array" ref="G26">_xlfn.TEXTJOIN(", ",TRUE(),_xlfn._xlws.FILTER(Spkrs_Rcrdngs[Recording],Spkrs_Rcrdngs[Speaker]=_xlfn.SINGLE(Spkrs[Speaker]),"N/A"))</f>
        <v>URFA-533</v>
      </c>
    </row>
    <row r="27" spans="1:7">
      <c r="A27" t="s">
        <v>1803</v>
      </c>
      <c r="B27" t="s">
        <v>1754</v>
      </c>
      <c r="C27">
        <v>1940</v>
      </c>
      <c r="E27" t="s">
        <v>862</v>
      </c>
      <c r="F27" t="s">
        <v>1804</v>
      </c>
      <c r="G27" s="16" t="str" cm="1">
        <f t="array" ref="G27">_xlfn.TEXTJOIN(", ",TRUE(),_xlfn._xlws.FILTER(Spkrs_Rcrdngs[Recording],Spkrs_Rcrdngs[Speaker]=_xlfn.SINGLE(Spkrs[Speaker]),"N/A"))</f>
        <v>URFA-536</v>
      </c>
    </row>
    <row r="28" spans="1:7">
      <c r="A28" t="s">
        <v>1805</v>
      </c>
      <c r="B28" t="s">
        <v>1754</v>
      </c>
      <c r="E28" t="s">
        <v>862</v>
      </c>
      <c r="F28" t="s">
        <v>1806</v>
      </c>
      <c r="G28" s="16" t="str" cm="1">
        <f t="array" ref="G28">_xlfn.TEXTJOIN(", ",TRUE(),_xlfn._xlws.FILTER(Spkrs_Rcrdngs[Recording],Spkrs_Rcrdngs[Speaker]=_xlfn.SINGLE(Spkrs[Speaker]),"N/A"))</f>
        <v>URFA-537</v>
      </c>
    </row>
    <row r="29" spans="1:7">
      <c r="A29" t="s">
        <v>1807</v>
      </c>
      <c r="B29" t="s">
        <v>1767</v>
      </c>
      <c r="C29">
        <v>1995</v>
      </c>
      <c r="E29" t="s">
        <v>862</v>
      </c>
      <c r="F29" t="s">
        <v>1808</v>
      </c>
      <c r="G29" s="16" t="str" cm="1">
        <f t="array" ref="G29">_xlfn.TEXTJOIN(", ",TRUE(),_xlfn._xlws.FILTER(Spkrs_Rcrdngs[Recording],Spkrs_Rcrdngs[Speaker]=_xlfn.SINGLE(Spkrs[Speaker]),"N/A"))</f>
        <v>URFA-548, URFA-549</v>
      </c>
    </row>
    <row r="30" spans="1:7">
      <c r="A30" t="s">
        <v>1809</v>
      </c>
      <c r="B30" t="s">
        <v>1754</v>
      </c>
      <c r="E30" t="s">
        <v>862</v>
      </c>
      <c r="F30" t="s">
        <v>1810</v>
      </c>
      <c r="G30" s="16" t="str" cm="1">
        <f t="array" ref="G30">_xlfn.TEXTJOIN(", ",TRUE(),_xlfn._xlws.FILTER(Spkrs_Rcrdngs[Recording],Spkrs_Rcrdngs[Speaker]=_xlfn.SINGLE(Spkrs[Speaker]),"N/A"))</f>
        <v>URFA-029</v>
      </c>
    </row>
    <row r="31" spans="1:7">
      <c r="A31" t="s">
        <v>1811</v>
      </c>
      <c r="B31" t="s">
        <v>1767</v>
      </c>
      <c r="E31" t="s">
        <v>862</v>
      </c>
      <c r="F31" t="s">
        <v>1812</v>
      </c>
      <c r="G31" s="16" t="str" cm="1">
        <f t="array" ref="G31">_xlfn.TEXTJOIN(", ",TRUE(),_xlfn._xlws.FILTER(Spkrs_Rcrdngs[Recording],Spkrs_Rcrdngs[Speaker]=_xlfn.SINGLE(Spkrs[Speaker]),"N/A"))</f>
        <v>URFA-588, URFA-589, URFA-590</v>
      </c>
    </row>
    <row r="32" spans="1:7">
      <c r="A32" t="s">
        <v>1813</v>
      </c>
      <c r="B32" t="s">
        <v>1767</v>
      </c>
      <c r="E32" t="s">
        <v>862</v>
      </c>
      <c r="F32" t="s">
        <v>1814</v>
      </c>
      <c r="G32" s="16" t="str" cm="1">
        <f t="array" ref="G32">_xlfn.TEXTJOIN(", ",TRUE(),_xlfn._xlws.FILTER(Spkrs_Rcrdngs[Recording],Spkrs_Rcrdngs[Speaker]=_xlfn.SINGLE(Spkrs[Speaker]),"N/A"))</f>
        <v>URFA-506, URFA-507, URFA-508, URFA-509</v>
      </c>
    </row>
    <row r="33" spans="1:7">
      <c r="A33" t="s">
        <v>1815</v>
      </c>
      <c r="B33" t="s">
        <v>1767</v>
      </c>
      <c r="E33" t="s">
        <v>862</v>
      </c>
      <c r="F33" t="s">
        <v>1816</v>
      </c>
      <c r="G33" s="16" t="str" cm="1">
        <f t="array" ref="G33">_xlfn.TEXTJOIN(", ",TRUE(),_xlfn._xlws.FILTER(Spkrs_Rcrdngs[Recording],Spkrs_Rcrdngs[Speaker]=_xlfn.SINGLE(Spkrs[Speaker]),"N/A"))</f>
        <v>URFA-013</v>
      </c>
    </row>
    <row r="34" spans="1:7">
      <c r="A34" t="s">
        <v>1817</v>
      </c>
      <c r="B34" t="s">
        <v>1754</v>
      </c>
      <c r="E34" t="s">
        <v>862</v>
      </c>
      <c r="F34" t="s">
        <v>1818</v>
      </c>
      <c r="G34" s="16" t="str" cm="1">
        <f t="array" ref="G34">_xlfn.TEXTJOIN(", ",TRUE(),_xlfn._xlws.FILTER(Spkrs_Rcrdngs[Recording],Spkrs_Rcrdngs[Speaker]=_xlfn.SINGLE(Spkrs[Speaker]),"N/A"))</f>
        <v>URFA-013</v>
      </c>
    </row>
    <row r="35" spans="1:7">
      <c r="A35" t="s">
        <v>1819</v>
      </c>
      <c r="B35" t="s">
        <v>1754</v>
      </c>
      <c r="C35">
        <v>1943</v>
      </c>
      <c r="E35" t="s">
        <v>862</v>
      </c>
      <c r="F35" t="s">
        <v>1820</v>
      </c>
      <c r="G35" s="16" t="str" cm="1">
        <f t="array" ref="G35">_xlfn.TEXTJOIN(", ",TRUE(),_xlfn._xlws.FILTER(Spkrs_Rcrdngs[Recording],Spkrs_Rcrdngs[Speaker]=_xlfn.SINGLE(Spkrs[Speaker]),"N/A"))</f>
        <v>URFA-478</v>
      </c>
    </row>
    <row r="36" spans="1:7">
      <c r="A36" t="s">
        <v>1821</v>
      </c>
      <c r="B36" t="s">
        <v>1767</v>
      </c>
      <c r="E36" t="s">
        <v>862</v>
      </c>
      <c r="F36" t="s">
        <v>1822</v>
      </c>
      <c r="G36" s="16" t="str" cm="1">
        <f t="array" ref="G36">_xlfn.TEXTJOIN(", ",TRUE(),_xlfn._xlws.FILTER(Spkrs_Rcrdngs[Recording],Spkrs_Rcrdngs[Speaker]=_xlfn.SINGLE(Spkrs[Speaker]),"N/A"))</f>
        <v>URFA-509</v>
      </c>
    </row>
    <row r="37" spans="1:7" ht="15">
      <c r="A37" t="s">
        <v>1823</v>
      </c>
      <c r="B37" t="s">
        <v>1767</v>
      </c>
      <c r="E37" t="s">
        <v>862</v>
      </c>
      <c r="F37" t="s">
        <v>1824</v>
      </c>
      <c r="G37" s="16" t="str" cm="1">
        <f t="array" ref="G37">_xlfn.TEXTJOIN(", ",TRUE(),_xlfn._xlws.FILTER(Spkrs_Rcrdngs[Recording],Spkrs_Rcrdngs[Speaker]=_xlfn.SINGLE(Spkrs[Speaker]),"N/A"))</f>
        <v>URFA-615</v>
      </c>
    </row>
    <row r="38" spans="1:7">
      <c r="A38" t="s">
        <v>1825</v>
      </c>
      <c r="B38" t="s">
        <v>1754</v>
      </c>
      <c r="E38" t="s">
        <v>862</v>
      </c>
      <c r="F38" t="s">
        <v>1826</v>
      </c>
      <c r="G38" s="16" t="str" cm="1">
        <f t="array" ref="G38">_xlfn.TEXTJOIN(", ",TRUE(),_xlfn._xlws.FILTER(Spkrs_Rcrdngs[Recording],Spkrs_Rcrdngs[Speaker]=_xlfn.SINGLE(Spkrs[Speaker]),"N/A"))</f>
        <v>URFA-410, URFA-411, URFA-412, URFA-413, URFA-414, URFA-415, URFA-416, URFA-417</v>
      </c>
    </row>
    <row r="39" spans="1:7">
      <c r="A39" t="s">
        <v>1827</v>
      </c>
      <c r="B39" t="s">
        <v>1754</v>
      </c>
      <c r="E39" t="s">
        <v>862</v>
      </c>
      <c r="F39" t="s">
        <v>1828</v>
      </c>
      <c r="G39" s="16" t="str" cm="1">
        <f t="array" ref="G39">_xlfn.TEXTJOIN(", ",TRUE(),_xlfn._xlws.FILTER(Spkrs_Rcrdngs[Recording],Spkrs_Rcrdngs[Speaker]=_xlfn.SINGLE(Spkrs[Speaker]),"N/A"))</f>
        <v>URFA-464, URFA-465, URFA-466, URFA-467, URFA-468, URFA-469, URFA-470, URFA-471, URFA-472, URFA-473a, URFA-474a</v>
      </c>
    </row>
    <row r="40" spans="1:7">
      <c r="A40" t="s">
        <v>1829</v>
      </c>
      <c r="B40" t="s">
        <v>1754</v>
      </c>
      <c r="E40" t="s">
        <v>862</v>
      </c>
      <c r="F40" t="s">
        <v>1830</v>
      </c>
      <c r="G40" s="16" t="str" cm="1">
        <f t="array" ref="G40">_xlfn.TEXTJOIN(", ",TRUE(),_xlfn._xlws.FILTER(Spkrs_Rcrdngs[Recording],Spkrs_Rcrdngs[Speaker]=_xlfn.SINGLE(Spkrs[Speaker]),"N/A"))</f>
        <v>URFA-467, URFA-475a</v>
      </c>
    </row>
    <row r="41" spans="1:7">
      <c r="A41" t="s">
        <v>1831</v>
      </c>
      <c r="E41" t="s">
        <v>862</v>
      </c>
      <c r="F41" t="s">
        <v>1832</v>
      </c>
      <c r="G41" s="16" t="str" cm="1">
        <f t="array" ref="G41">_xlfn.TEXTJOIN(", ",TRUE(),_xlfn._xlws.FILTER(Spkrs_Rcrdngs[Recording],Spkrs_Rcrdngs[Speaker]=_xlfn.SINGLE(Spkrs[Speaker]),"N/A"))</f>
        <v>URFA-405, URFA-406, URFA-407, URFA-408, URFA-409</v>
      </c>
    </row>
    <row r="42" spans="1:7">
      <c r="A42" t="s">
        <v>1833</v>
      </c>
      <c r="B42" t="s">
        <v>1754</v>
      </c>
      <c r="C42">
        <v>1997</v>
      </c>
      <c r="E42" t="s">
        <v>607</v>
      </c>
      <c r="F42" t="s">
        <v>1780</v>
      </c>
      <c r="G42" s="16" t="str" cm="1">
        <f t="array" ref="G42">_xlfn.TEXTJOIN(", ",TRUE(),_xlfn._xlws.FILTER(Spkrs_Rcrdngs[Recording],Spkrs_Rcrdngs[Speaker]=_xlfn.SINGLE(Spkrs[Speaker]),"N/A"))</f>
        <v>Syria-000, Syria-001, Syria-002, Syria-003, Syria-004, Syria-005, Syria-013, Syria-014, Syria-015, Syria-016, Syria-017, Syria-040</v>
      </c>
    </row>
    <row r="43" spans="1:7">
      <c r="A43" t="s">
        <v>1834</v>
      </c>
      <c r="B43" t="s">
        <v>1754</v>
      </c>
      <c r="E43" t="s">
        <v>1835</v>
      </c>
      <c r="F43" t="s">
        <v>1836</v>
      </c>
      <c r="G43" s="16" t="str" cm="1">
        <f t="array" ref="G43">_xlfn.TEXTJOIN(", ",TRUE(),_xlfn._xlws.FILTER(Spkrs_Rcrdngs[Recording],Spkrs_Rcrdngs[Speaker]=_xlfn.SINGLE(Spkrs[Speaker]),"N/A"))</f>
        <v>URFA-324</v>
      </c>
    </row>
    <row r="44" spans="1:7">
      <c r="A44" t="s">
        <v>1837</v>
      </c>
      <c r="B44" t="s">
        <v>1754</v>
      </c>
      <c r="E44" t="s">
        <v>1835</v>
      </c>
      <c r="F44" t="s">
        <v>1838</v>
      </c>
      <c r="G44" s="16" t="str" cm="1">
        <f t="array" ref="G44">_xlfn.TEXTJOIN(", ",TRUE(),_xlfn._xlws.FILTER(Spkrs_Rcrdngs[Recording],Spkrs_Rcrdngs[Speaker]=_xlfn.SINGLE(Spkrs[Speaker]),"N/A"))</f>
        <v>Syria-000, Syria-001, Syria-002, Syria-003, Syria-004, Syria-005, Syria-006, Syria-007, Syria-008, Syria-009, Syria-010, Syria-011, Syria-012, Syria-018, Syria-019, Syria-020, Syria-021, Syria-022, Syria-023, Syria-024, Syria-025</v>
      </c>
    </row>
    <row r="45" spans="1:7">
      <c r="A45" t="s">
        <v>1839</v>
      </c>
      <c r="B45" t="s">
        <v>1754</v>
      </c>
      <c r="C45">
        <v>2000</v>
      </c>
      <c r="E45" t="s">
        <v>1835</v>
      </c>
      <c r="F45" t="s">
        <v>1840</v>
      </c>
      <c r="G45" s="16" t="str" cm="1">
        <f t="array" ref="G45">_xlfn.TEXTJOIN(", ",TRUE(),_xlfn._xlws.FILTER(Spkrs_Rcrdngs[Recording],Spkrs_Rcrdngs[Speaker]=_xlfn.SINGLE(Spkrs[Speaker]),"N/A"))</f>
        <v>Syria-013, Syria-014, Syria-015, Syria-016, Syria-017</v>
      </c>
    </row>
    <row r="46" spans="1:7">
      <c r="A46" t="s">
        <v>1841</v>
      </c>
      <c r="B46" t="s">
        <v>1754</v>
      </c>
      <c r="E46" t="s">
        <v>1835</v>
      </c>
      <c r="F46" t="s">
        <v>1842</v>
      </c>
      <c r="G46" s="16" t="str" cm="1">
        <f t="array" ref="G46">_xlfn.TEXTJOIN(", ",TRUE(),_xlfn._xlws.FILTER(Spkrs_Rcrdngs[Recording],Spkrs_Rcrdngs[Speaker]=_xlfn.SINGLE(Spkrs[Speaker]),"N/A"))</f>
        <v>URFA-330, URFA-331, URFA-335, URFA-336</v>
      </c>
    </row>
    <row r="47" spans="1:7">
      <c r="A47" t="s">
        <v>1843</v>
      </c>
      <c r="B47" t="s">
        <v>1754</v>
      </c>
      <c r="E47" t="s">
        <v>1835</v>
      </c>
      <c r="F47" t="s">
        <v>1844</v>
      </c>
      <c r="G47" s="16" t="str" cm="1">
        <f t="array" ref="G47">_xlfn.TEXTJOIN(", ",TRUE(),_xlfn._xlws.FILTER(Spkrs_Rcrdngs[Recording],Spkrs_Rcrdngs[Speaker]=_xlfn.SINGLE(Spkrs[Speaker]),"N/A"))</f>
        <v>URFA-368, URFA-369, URFA-370, URFA-371</v>
      </c>
    </row>
    <row r="48" spans="1:7">
      <c r="A48" t="s">
        <v>1845</v>
      </c>
      <c r="B48" t="s">
        <v>1754</v>
      </c>
      <c r="E48" t="s">
        <v>1835</v>
      </c>
      <c r="F48" t="s">
        <v>1846</v>
      </c>
      <c r="G48" s="16" t="str" cm="1">
        <f t="array" ref="G48">_xlfn.TEXTJOIN(", ",TRUE(),_xlfn._xlws.FILTER(Spkrs_Rcrdngs[Recording],Spkrs_Rcrdngs[Speaker]=_xlfn.SINGLE(Spkrs[Speaker]),"N/A"))</f>
        <v>URFA-375</v>
      </c>
    </row>
    <row r="49" spans="1:7">
      <c r="A49" t="s">
        <v>1847</v>
      </c>
      <c r="B49" t="s">
        <v>1754</v>
      </c>
      <c r="C49">
        <v>1995</v>
      </c>
      <c r="E49" t="s">
        <v>1835</v>
      </c>
      <c r="F49" t="s">
        <v>1848</v>
      </c>
      <c r="G49" s="16" t="str" cm="1">
        <f t="array" ref="G49">_xlfn.TEXTJOIN(", ",TRUE(),_xlfn._xlws.FILTER(Spkrs_Rcrdngs[Recording],Spkrs_Rcrdngs[Speaker]=_xlfn.SINGLE(Spkrs[Speaker]),"N/A"))</f>
        <v>Syria-026, Syria-027, Syria-028, Syria-029, Syria-030, Syria-031, Syria-032, Syria-033, Syria-034, Syria-035, Syria-036, Syria-037, Syria-038, Syria-040, Syria-041, Syria-042, Syria-043, Syria-044, Syria-045, Syria-046, Syria-047, Syria-048, Syria-049, Syria-050, Syria-051, Syria-052, Syria-053, Syria-054, Syria-055, Syria-056, Syria-057, Syria-058, Syria-059, Syria-074, Syria-075, Syria-078</v>
      </c>
    </row>
    <row r="50" spans="1:7">
      <c r="A50" t="s">
        <v>1849</v>
      </c>
      <c r="B50" t="s">
        <v>1754</v>
      </c>
      <c r="C50">
        <v>1993</v>
      </c>
      <c r="E50" t="s">
        <v>1835</v>
      </c>
      <c r="F50" t="s">
        <v>1850</v>
      </c>
      <c r="G50" s="16" t="str" cm="1">
        <f t="array" ref="G50">_xlfn.TEXTJOIN(", ",TRUE(),_xlfn._xlws.FILTER(Spkrs_Rcrdngs[Recording],Spkrs_Rcrdngs[Speaker]=_xlfn.SINGLE(Spkrs[Speaker]),"N/A"))</f>
        <v>Syria-039, Syria-040, Syria-060, Syria-061, Syria-076, Syria-077, Syria-079, Syria-080, Syria-081, Syria-082, Syria-083, Syria-084, Syria-085, Syria-086, Syria-087</v>
      </c>
    </row>
    <row r="51" spans="1:7">
      <c r="A51" t="s">
        <v>1851</v>
      </c>
      <c r="B51" t="s">
        <v>1754</v>
      </c>
      <c r="C51">
        <v>1995</v>
      </c>
      <c r="E51" t="s">
        <v>1835</v>
      </c>
      <c r="F51" t="s">
        <v>1852</v>
      </c>
      <c r="G51" s="16" t="str" cm="1">
        <f t="array" ref="G51">_xlfn.TEXTJOIN(", ",TRUE(),_xlfn._xlws.FILTER(Spkrs_Rcrdngs[Recording],Spkrs_Rcrdngs[Speaker]=_xlfn.SINGLE(Spkrs[Speaker]),"N/A"))</f>
        <v>Syria-077, Syria-079, Syria-080, Syria-081, Syria-082, Syria-083, Syria-084, Syria-085, Syria-086, Syria-087</v>
      </c>
    </row>
    <row r="52" spans="1:7">
      <c r="A52" t="s">
        <v>1853</v>
      </c>
      <c r="B52" t="s">
        <v>1754</v>
      </c>
      <c r="C52">
        <v>1992</v>
      </c>
      <c r="E52" t="s">
        <v>1835</v>
      </c>
      <c r="F52" t="s">
        <v>1854</v>
      </c>
      <c r="G52" s="16" t="str" cm="1">
        <f t="array" ref="G52">_xlfn.TEXTJOIN(", ",TRUE(),_xlfn._xlws.FILTER(Spkrs_Rcrdngs[Recording],Spkrs_Rcrdngs[Speaker]=_xlfn.SINGLE(Spkrs[Speaker]),"N/A"))</f>
        <v>Syria-062, Syria-063, Syria-067, Syria-068, Syria-069, Syria-070, Syria-072</v>
      </c>
    </row>
    <row r="53" spans="1:7">
      <c r="A53" t="s">
        <v>1855</v>
      </c>
      <c r="B53" t="s">
        <v>1754</v>
      </c>
      <c r="C53">
        <v>1994</v>
      </c>
      <c r="E53" t="s">
        <v>1835</v>
      </c>
      <c r="F53" t="s">
        <v>1856</v>
      </c>
      <c r="G53" s="16" t="str" cm="1">
        <f t="array" ref="G53">_xlfn.TEXTJOIN(", ",TRUE(),_xlfn._xlws.FILTER(Spkrs_Rcrdngs[Recording],Spkrs_Rcrdngs[Speaker]=_xlfn.SINGLE(Spkrs[Speaker]),"N/A"))</f>
        <v>Syria-064, Syria-065, Syria-066, Syria-071</v>
      </c>
    </row>
    <row r="54" spans="1:7">
      <c r="A54" t="s">
        <v>1857</v>
      </c>
      <c r="B54" t="s">
        <v>1754</v>
      </c>
      <c r="C54">
        <v>1995</v>
      </c>
      <c r="E54" t="s">
        <v>1835</v>
      </c>
      <c r="F54" t="s">
        <v>1858</v>
      </c>
      <c r="G54" s="16" t="str" cm="1">
        <f t="array" ref="G54">_xlfn.TEXTJOIN(", ",TRUE(),_xlfn._xlws.FILTER(Spkrs_Rcrdngs[Recording],Spkrs_Rcrdngs[Speaker]=_xlfn.SINGLE(Spkrs[Speaker]),"N/A"))</f>
        <v>Syria-073</v>
      </c>
    </row>
    <row r="55" spans="1:7">
      <c r="A55" t="s">
        <v>1859</v>
      </c>
      <c r="B55" t="s">
        <v>1754</v>
      </c>
      <c r="E55" t="s">
        <v>1835</v>
      </c>
      <c r="F55" t="s">
        <v>1860</v>
      </c>
      <c r="G55" s="16" t="str" cm="1">
        <f t="array" ref="G55">_xlfn.TEXTJOIN(", ",TRUE(),_xlfn._xlws.FILTER(Spkrs_Rcrdngs[Recording],Spkrs_Rcrdngs[Speaker]=_xlfn.SINGLE(Spkrs[Speaker]),"N/A"))</f>
        <v>URFA-496, URFA-497, URFA-498</v>
      </c>
    </row>
    <row r="56" spans="1:7">
      <c r="A56" t="s">
        <v>1861</v>
      </c>
      <c r="B56" t="s">
        <v>1767</v>
      </c>
      <c r="E56" t="s">
        <v>862</v>
      </c>
      <c r="F56" t="s">
        <v>1776</v>
      </c>
      <c r="G56" s="16" t="str" cm="1">
        <f t="array" ref="G56">_xlfn.TEXTJOIN(", ",TRUE(),_xlfn._xlws.FILTER(Spkrs_Rcrdngs[Recording],Spkrs_Rcrdngs[Speaker]=_xlfn.SINGLE(Spkrs[Speaker]),"N/A"))</f>
        <v>URFA-363, URFA-364, URFA-365, URFA-366, URFA-367</v>
      </c>
    </row>
    <row r="57" spans="1:7">
      <c r="A57" t="s">
        <v>1862</v>
      </c>
      <c r="B57" t="s">
        <v>1767</v>
      </c>
      <c r="E57" t="s">
        <v>862</v>
      </c>
      <c r="F57" t="s">
        <v>1863</v>
      </c>
      <c r="G57" s="16" t="str" cm="1">
        <f t="array" ref="G57">_xlfn.TEXTJOIN(", ",TRUE(),_xlfn._xlws.FILTER(Spkrs_Rcrdngs[Recording],Spkrs_Rcrdngs[Speaker]=_xlfn.SINGLE(Spkrs[Speaker]),"N/A"))</f>
        <v>URFA-363, URFA-365, URFA-366, URFA-367</v>
      </c>
    </row>
    <row r="58" spans="1:7">
      <c r="A58" t="s">
        <v>1864</v>
      </c>
      <c r="B58" t="s">
        <v>1754</v>
      </c>
      <c r="E58" t="s">
        <v>862</v>
      </c>
      <c r="F58" t="s">
        <v>1865</v>
      </c>
      <c r="G58" s="16" t="str" cm="1">
        <f t="array" ref="G58">_xlfn.TEXTJOIN(", ",TRUE(),_xlfn._xlws.FILTER(Spkrs_Rcrdngs[Recording],Spkrs_Rcrdngs[Speaker]=_xlfn.SINGLE(Spkrs[Speaker]),"N/A"))</f>
        <v>URFA-372, URFA-373</v>
      </c>
    </row>
    <row r="59" spans="1:7">
      <c r="A59" t="s">
        <v>1866</v>
      </c>
      <c r="B59" t="s">
        <v>1754</v>
      </c>
      <c r="E59" t="s">
        <v>862</v>
      </c>
      <c r="F59" t="s">
        <v>1867</v>
      </c>
      <c r="G59" s="16" t="str" cm="1">
        <f t="array" ref="G59">_xlfn.TEXTJOIN(", ",TRUE(),_xlfn._xlws.FILTER(Spkrs_Rcrdngs[Recording],Spkrs_Rcrdngs[Speaker]=_xlfn.SINGLE(Spkrs[Speaker]),"N/A"))</f>
        <v>URFA-100, URFA-101, URFA-102, URFA-103, URFA-104, URFA-105, URFA-106, URFA-107, URFA-108, URFA-110, URFA-111, URFA-112, URFA-113, URFA-114, URFA-115, URFA-116, URFA-117, URFA-118</v>
      </c>
    </row>
    <row r="60" spans="1:7">
      <c r="A60" t="s">
        <v>1868</v>
      </c>
      <c r="B60" t="s">
        <v>1754</v>
      </c>
      <c r="E60" t="s">
        <v>862</v>
      </c>
      <c r="F60" t="s">
        <v>1869</v>
      </c>
      <c r="G60" s="16" t="str" cm="1">
        <f t="array" ref="G60">_xlfn.TEXTJOIN(", ",TRUE(),_xlfn._xlws.FILTER(Spkrs_Rcrdngs[Recording],Spkrs_Rcrdngs[Speaker]=_xlfn.SINGLE(Spkrs[Speaker]),"N/A"))</f>
        <v>URFA-000-U1a, URFA-002, URFA-002-a, URFA-002-b, URFA-002-c, URFA-002-d</v>
      </c>
    </row>
    <row r="61" spans="1:7">
      <c r="A61" t="s">
        <v>1870</v>
      </c>
      <c r="B61" t="s">
        <v>1754</v>
      </c>
      <c r="C61">
        <v>1960</v>
      </c>
      <c r="E61" t="s">
        <v>862</v>
      </c>
      <c r="F61" t="s">
        <v>1871</v>
      </c>
      <c r="G61" s="16" t="str" cm="1">
        <f t="array" ref="G61">_xlfn.TEXTJOIN(", ",TRUE(),_xlfn._xlws.FILTER(Spkrs_Rcrdngs[Recording],Spkrs_Rcrdngs[Speaker]=_xlfn.SINGLE(Spkrs[Speaker]),"N/A"))</f>
        <v>URFA-000, URFA-001, URFA-098, URFA-099</v>
      </c>
    </row>
    <row r="62" spans="1:7">
      <c r="A62" t="s">
        <v>1872</v>
      </c>
      <c r="B62" t="s">
        <v>1754</v>
      </c>
      <c r="E62" t="s">
        <v>862</v>
      </c>
      <c r="F62" t="s">
        <v>1873</v>
      </c>
      <c r="G62" s="16" t="str" cm="1">
        <f t="array" ref="G62">_xlfn.TEXTJOIN(", ",TRUE(),_xlfn._xlws.FILTER(Spkrs_Rcrdngs[Recording],Spkrs_Rcrdngs[Speaker]=_xlfn.SINGLE(Spkrs[Speaker]),"N/A"))</f>
        <v>URFA-000, URFA-000-U1a, URFA-001, URFA-002-d</v>
      </c>
    </row>
    <row r="63" spans="1:7">
      <c r="A63" t="s">
        <v>1874</v>
      </c>
      <c r="B63" t="s">
        <v>1767</v>
      </c>
      <c r="C63">
        <v>1968</v>
      </c>
      <c r="E63" t="s">
        <v>862</v>
      </c>
      <c r="F63" t="s">
        <v>1875</v>
      </c>
      <c r="G63" s="16" t="str" cm="1">
        <f t="array" ref="G63">_xlfn.TEXTJOIN(", ",TRUE(),_xlfn._xlws.FILTER(Spkrs_Rcrdngs[Recording],Spkrs_Rcrdngs[Speaker]=_xlfn.SINGLE(Spkrs[Speaker]),"N/A"))</f>
        <v>URFA-510, URFA-511, URFA-514, URFA-515, URFA-516, URFA-517, URFA-520, URFA-521, URFA-522, URFA-523, URFA-524, URFA-525, URFA-526, URFA-527, URFA-530, URFA-567, URFA-568, URFA-569, URFA-570</v>
      </c>
    </row>
    <row r="64" spans="1:7" ht="15">
      <c r="A64" t="s">
        <v>1876</v>
      </c>
      <c r="B64" t="s">
        <v>1754</v>
      </c>
      <c r="C64">
        <v>1974</v>
      </c>
      <c r="E64" t="s">
        <v>862</v>
      </c>
      <c r="F64" t="s">
        <v>1877</v>
      </c>
      <c r="G64" s="16" t="str" cm="1">
        <f t="array" ref="G64">_xlfn.TEXTJOIN(", ",TRUE(),_xlfn._xlws.FILTER(Spkrs_Rcrdngs[Recording],Spkrs_Rcrdngs[Speaker]=_xlfn.SINGLE(Spkrs[Speaker]),"N/A"))</f>
        <v>URFA-067, URFA-068, URFA-069, URFA-069a, URFA-069b, URFA-071, URFA-072, URFA-073, URFA-075, URFA-076, URFA-077, URFA-077a, URFA-077b, URFA-077c, URFA-077d, URFA-077e, URFA-078, URFA-079, URFA-081, URFA-133, URFA-396, URFA-397, URFA-398, URFA-399, URFA-400, URFA-401, URFA-402, URFA-418, URFA-419, URFA-420, URFA-421a, URFA-421b, URFA-423, URFA-428, URFA-612</v>
      </c>
    </row>
    <row r="65" spans="1:6" ht="15">
      <c r="A65" t="s">
        <v>1878</v>
      </c>
      <c r="B65" t="s">
        <v>1754</v>
      </c>
      <c r="E65" t="s">
        <v>862</v>
      </c>
      <c r="F65" t="s">
        <v>1879</v>
      </c>
    </row>
    <row r="66" spans="1:6" ht="15">
      <c r="A66" t="s">
        <v>1880</v>
      </c>
      <c r="B66" t="s">
        <v>1754</v>
      </c>
      <c r="E66" t="s">
        <v>862</v>
      </c>
      <c r="F66" t="s">
        <v>1881</v>
      </c>
    </row>
  </sheetData>
  <conditionalFormatting sqref="E2:E89">
    <cfRule type="containsBlanks" dxfId="8" priority="1">
      <formula>LEN(TRIM(E2))=0</formula>
    </cfRule>
  </conditionalFormatting>
  <dataValidations count="2">
    <dataValidation type="list" allowBlank="1" showInputMessage="1" showErrorMessage="1" sqref="B2:B89" xr:uid="{00000000-0002-0000-0200-000000000000}">
      <formula1>"M,F,D"</formula1>
    </dataValidation>
    <dataValidation type="list" allowBlank="1" showInputMessage="1" showErrorMessage="1" sqref="E2:E89" xr:uid="{950885DA-64CC-44EC-8A41-D0212EE79D7B}">
      <formula1>INDIRECT("Plcs[PlaceName]")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20"/>
  <sheetViews>
    <sheetView topLeftCell="A687" workbookViewId="0">
      <selection activeCell="B717" sqref="B717"/>
    </sheetView>
  </sheetViews>
  <sheetFormatPr defaultColWidth="8.7109375" defaultRowHeight="14.45"/>
  <cols>
    <col min="1" max="1" width="21.85546875" customWidth="1"/>
    <col min="2" max="2" width="25.140625" customWidth="1"/>
  </cols>
  <sheetData>
    <row r="1" spans="1:2">
      <c r="A1" t="s">
        <v>1882</v>
      </c>
      <c r="B1" t="s">
        <v>585</v>
      </c>
    </row>
    <row r="2" spans="1:2">
      <c r="A2" t="s">
        <v>70</v>
      </c>
      <c r="B2" t="s">
        <v>1764</v>
      </c>
    </row>
    <row r="3" spans="1:2">
      <c r="A3" t="s">
        <v>70</v>
      </c>
      <c r="B3" t="s">
        <v>1870</v>
      </c>
    </row>
    <row r="4" spans="1:2">
      <c r="A4" t="s">
        <v>70</v>
      </c>
      <c r="B4" t="s">
        <v>1872</v>
      </c>
    </row>
    <row r="5" spans="1:2">
      <c r="A5" t="s">
        <v>72</v>
      </c>
      <c r="B5" t="s">
        <v>1764</v>
      </c>
    </row>
    <row r="6" spans="1:2">
      <c r="A6" t="s">
        <v>72</v>
      </c>
      <c r="B6" t="s">
        <v>1868</v>
      </c>
    </row>
    <row r="7" spans="1:2">
      <c r="A7" t="s">
        <v>72</v>
      </c>
      <c r="B7" t="s">
        <v>1872</v>
      </c>
    </row>
    <row r="8" spans="1:2">
      <c r="A8" t="s">
        <v>74</v>
      </c>
      <c r="B8" t="s">
        <v>1764</v>
      </c>
    </row>
    <row r="9" spans="1:2">
      <c r="A9" t="s">
        <v>74</v>
      </c>
      <c r="B9" t="s">
        <v>1870</v>
      </c>
    </row>
    <row r="10" spans="1:2">
      <c r="A10" t="s">
        <v>74</v>
      </c>
      <c r="B10" t="s">
        <v>1872</v>
      </c>
    </row>
    <row r="11" spans="1:2">
      <c r="A11" t="s">
        <v>75</v>
      </c>
      <c r="B11" t="s">
        <v>1764</v>
      </c>
    </row>
    <row r="12" spans="1:2">
      <c r="A12" t="s">
        <v>75</v>
      </c>
      <c r="B12" t="s">
        <v>1868</v>
      </c>
    </row>
    <row r="13" spans="1:2">
      <c r="A13" t="s">
        <v>871</v>
      </c>
      <c r="B13" t="s">
        <v>1764</v>
      </c>
    </row>
    <row r="14" spans="1:2">
      <c r="A14" t="s">
        <v>871</v>
      </c>
      <c r="B14" t="s">
        <v>1868</v>
      </c>
    </row>
    <row r="15" spans="1:2">
      <c r="A15" t="s">
        <v>875</v>
      </c>
      <c r="B15" t="s">
        <v>1764</v>
      </c>
    </row>
    <row r="16" spans="1:2">
      <c r="A16" t="s">
        <v>875</v>
      </c>
      <c r="B16" t="s">
        <v>1868</v>
      </c>
    </row>
    <row r="17" spans="1:2">
      <c r="A17" t="s">
        <v>878</v>
      </c>
      <c r="B17" t="s">
        <v>1764</v>
      </c>
    </row>
    <row r="18" spans="1:2">
      <c r="A18" t="s">
        <v>878</v>
      </c>
      <c r="B18" t="s">
        <v>1868</v>
      </c>
    </row>
    <row r="19" spans="1:2">
      <c r="A19" t="s">
        <v>881</v>
      </c>
      <c r="B19" t="s">
        <v>1868</v>
      </c>
    </row>
    <row r="20" spans="1:2">
      <c r="A20" t="s">
        <v>881</v>
      </c>
      <c r="B20" t="s">
        <v>1872</v>
      </c>
    </row>
    <row r="21" spans="1:2">
      <c r="A21" t="s">
        <v>80</v>
      </c>
      <c r="B21" t="s">
        <v>1764</v>
      </c>
    </row>
    <row r="22" spans="1:2">
      <c r="A22" t="s">
        <v>80</v>
      </c>
      <c r="B22" t="s">
        <v>1765</v>
      </c>
    </row>
    <row r="23" spans="1:2">
      <c r="A23" t="s">
        <v>81</v>
      </c>
      <c r="B23" t="s">
        <v>1764</v>
      </c>
    </row>
    <row r="24" spans="1:2">
      <c r="A24" t="s">
        <v>81</v>
      </c>
      <c r="B24" t="s">
        <v>1765</v>
      </c>
    </row>
    <row r="25" spans="1:2">
      <c r="A25" t="s">
        <v>82</v>
      </c>
      <c r="B25" t="s">
        <v>1764</v>
      </c>
    </row>
    <row r="26" spans="1:2">
      <c r="A26" t="s">
        <v>82</v>
      </c>
      <c r="B26" t="s">
        <v>1765</v>
      </c>
    </row>
    <row r="27" spans="1:2">
      <c r="A27" t="s">
        <v>83</v>
      </c>
      <c r="B27" t="s">
        <v>1764</v>
      </c>
    </row>
    <row r="28" spans="1:2">
      <c r="A28" t="s">
        <v>83</v>
      </c>
      <c r="B28" t="s">
        <v>1765</v>
      </c>
    </row>
    <row r="29" spans="1:2">
      <c r="A29" t="s">
        <v>84</v>
      </c>
      <c r="B29" t="s">
        <v>1764</v>
      </c>
    </row>
    <row r="30" spans="1:2">
      <c r="A30" t="s">
        <v>84</v>
      </c>
      <c r="B30" t="s">
        <v>1765</v>
      </c>
    </row>
    <row r="31" spans="1:2">
      <c r="A31" t="s">
        <v>85</v>
      </c>
      <c r="B31" t="s">
        <v>1764</v>
      </c>
    </row>
    <row r="32" spans="1:2">
      <c r="A32" t="s">
        <v>85</v>
      </c>
      <c r="B32" t="s">
        <v>1765</v>
      </c>
    </row>
    <row r="33" spans="1:2">
      <c r="A33" t="s">
        <v>86</v>
      </c>
      <c r="B33" t="s">
        <v>1765</v>
      </c>
    </row>
    <row r="34" spans="1:2">
      <c r="A34" t="s">
        <v>86</v>
      </c>
      <c r="B34" t="s">
        <v>1777</v>
      </c>
    </row>
    <row r="35" spans="1:2">
      <c r="A35" t="s">
        <v>86</v>
      </c>
      <c r="B35" t="s">
        <v>1815</v>
      </c>
    </row>
    <row r="36" spans="1:2">
      <c r="A36" t="s">
        <v>86</v>
      </c>
      <c r="B36" t="s">
        <v>1817</v>
      </c>
    </row>
    <row r="37" spans="1:2">
      <c r="A37" t="s">
        <v>87</v>
      </c>
      <c r="B37" t="s">
        <v>1764</v>
      </c>
    </row>
    <row r="38" spans="1:2">
      <c r="A38" t="s">
        <v>87</v>
      </c>
      <c r="B38" t="s">
        <v>1765</v>
      </c>
    </row>
    <row r="39" spans="1:2">
      <c r="A39" t="s">
        <v>87</v>
      </c>
      <c r="B39" t="s">
        <v>1777</v>
      </c>
    </row>
    <row r="40" spans="1:2">
      <c r="A40" t="s">
        <v>88</v>
      </c>
      <c r="B40" t="s">
        <v>1764</v>
      </c>
    </row>
    <row r="41" spans="1:2">
      <c r="A41" t="s">
        <v>88</v>
      </c>
      <c r="B41" t="s">
        <v>1765</v>
      </c>
    </row>
    <row r="42" spans="1:2">
      <c r="A42" t="s">
        <v>89</v>
      </c>
      <c r="B42" t="s">
        <v>1764</v>
      </c>
    </row>
    <row r="43" spans="1:2">
      <c r="A43" t="s">
        <v>89</v>
      </c>
      <c r="B43" t="s">
        <v>1765</v>
      </c>
    </row>
    <row r="44" spans="1:2">
      <c r="A44" t="s">
        <v>90</v>
      </c>
      <c r="B44" t="s">
        <v>1764</v>
      </c>
    </row>
    <row r="45" spans="1:2">
      <c r="A45" t="s">
        <v>90</v>
      </c>
      <c r="B45" t="s">
        <v>1765</v>
      </c>
    </row>
    <row r="46" spans="1:2">
      <c r="A46" t="s">
        <v>91</v>
      </c>
      <c r="B46" t="s">
        <v>1764</v>
      </c>
    </row>
    <row r="47" spans="1:2">
      <c r="A47" t="s">
        <v>91</v>
      </c>
      <c r="B47" t="s">
        <v>1765</v>
      </c>
    </row>
    <row r="48" spans="1:2">
      <c r="A48" t="s">
        <v>92</v>
      </c>
      <c r="B48" t="s">
        <v>1764</v>
      </c>
    </row>
    <row r="49" spans="1:2">
      <c r="A49" t="s">
        <v>92</v>
      </c>
      <c r="B49" t="s">
        <v>1765</v>
      </c>
    </row>
    <row r="50" spans="1:2">
      <c r="A50" t="s">
        <v>1883</v>
      </c>
      <c r="B50" t="s">
        <v>1764</v>
      </c>
    </row>
    <row r="51" spans="1:2">
      <c r="A51" t="s">
        <v>1883</v>
      </c>
      <c r="B51" t="s">
        <v>1765</v>
      </c>
    </row>
    <row r="52" spans="1:2">
      <c r="A52" t="s">
        <v>93</v>
      </c>
      <c r="B52" t="s">
        <v>1764</v>
      </c>
    </row>
    <row r="53" spans="1:2">
      <c r="A53" t="s">
        <v>93</v>
      </c>
      <c r="B53" t="s">
        <v>1765</v>
      </c>
    </row>
    <row r="54" spans="1:2">
      <c r="A54" t="s">
        <v>94</v>
      </c>
      <c r="B54" t="s">
        <v>1764</v>
      </c>
    </row>
    <row r="55" spans="1:2">
      <c r="A55" t="s">
        <v>94</v>
      </c>
      <c r="B55" t="s">
        <v>1765</v>
      </c>
    </row>
    <row r="56" spans="1:2">
      <c r="A56" t="s">
        <v>95</v>
      </c>
      <c r="B56" t="s">
        <v>1764</v>
      </c>
    </row>
    <row r="57" spans="1:2">
      <c r="A57" t="s">
        <v>95</v>
      </c>
      <c r="B57" t="s">
        <v>1765</v>
      </c>
    </row>
    <row r="58" spans="1:2">
      <c r="A58" t="s">
        <v>95</v>
      </c>
      <c r="B58" t="s">
        <v>1771</v>
      </c>
    </row>
    <row r="59" spans="1:2">
      <c r="A59" t="s">
        <v>96</v>
      </c>
      <c r="B59" t="s">
        <v>1764</v>
      </c>
    </row>
    <row r="60" spans="1:2">
      <c r="A60" t="s">
        <v>96</v>
      </c>
      <c r="B60" t="s">
        <v>1765</v>
      </c>
    </row>
    <row r="61" spans="1:2">
      <c r="A61" t="s">
        <v>96</v>
      </c>
      <c r="B61" t="s">
        <v>1771</v>
      </c>
    </row>
    <row r="62" spans="1:2">
      <c r="A62" t="s">
        <v>96</v>
      </c>
      <c r="B62" t="s">
        <v>1777</v>
      </c>
    </row>
    <row r="63" spans="1:2">
      <c r="A63" t="s">
        <v>97</v>
      </c>
      <c r="B63" t="s">
        <v>1764</v>
      </c>
    </row>
    <row r="64" spans="1:2">
      <c r="A64" t="s">
        <v>97</v>
      </c>
      <c r="B64" t="s">
        <v>1765</v>
      </c>
    </row>
    <row r="65" spans="1:2">
      <c r="A65" t="s">
        <v>97</v>
      </c>
      <c r="B65" t="s">
        <v>1777</v>
      </c>
    </row>
    <row r="66" spans="1:2">
      <c r="A66" t="s">
        <v>97</v>
      </c>
      <c r="B66" t="s">
        <v>1809</v>
      </c>
    </row>
    <row r="67" spans="1:2">
      <c r="A67" t="s">
        <v>98</v>
      </c>
      <c r="B67" t="s">
        <v>1764</v>
      </c>
    </row>
    <row r="68" spans="1:2">
      <c r="A68" t="s">
        <v>98</v>
      </c>
      <c r="B68" t="s">
        <v>1765</v>
      </c>
    </row>
    <row r="69" spans="1:2">
      <c r="A69" t="s">
        <v>99</v>
      </c>
      <c r="B69" t="s">
        <v>1764</v>
      </c>
    </row>
    <row r="70" spans="1:2">
      <c r="A70" t="s">
        <v>99</v>
      </c>
      <c r="B70" t="s">
        <v>1765</v>
      </c>
    </row>
    <row r="71" spans="1:2">
      <c r="A71" t="s">
        <v>100</v>
      </c>
      <c r="B71" t="s">
        <v>1764</v>
      </c>
    </row>
    <row r="72" spans="1:2">
      <c r="A72" t="s">
        <v>100</v>
      </c>
      <c r="B72" t="s">
        <v>1765</v>
      </c>
    </row>
    <row r="73" spans="1:2">
      <c r="A73" t="s">
        <v>101</v>
      </c>
      <c r="B73" t="s">
        <v>1764</v>
      </c>
    </row>
    <row r="74" spans="1:2">
      <c r="A74" t="s">
        <v>101</v>
      </c>
      <c r="B74" t="s">
        <v>1765</v>
      </c>
    </row>
    <row r="75" spans="1:2">
      <c r="A75" t="s">
        <v>102</v>
      </c>
      <c r="B75" t="s">
        <v>1764</v>
      </c>
    </row>
    <row r="76" spans="1:2">
      <c r="A76" t="s">
        <v>102</v>
      </c>
      <c r="B76" t="s">
        <v>1765</v>
      </c>
    </row>
    <row r="77" spans="1:2">
      <c r="A77" t="s">
        <v>103</v>
      </c>
      <c r="B77" t="s">
        <v>1764</v>
      </c>
    </row>
    <row r="78" spans="1:2">
      <c r="A78" t="s">
        <v>103</v>
      </c>
      <c r="B78" t="s">
        <v>1765</v>
      </c>
    </row>
    <row r="79" spans="1:2">
      <c r="A79" t="s">
        <v>104</v>
      </c>
      <c r="B79" t="s">
        <v>1764</v>
      </c>
    </row>
    <row r="80" spans="1:2">
      <c r="A80" t="s">
        <v>104</v>
      </c>
      <c r="B80" t="s">
        <v>1765</v>
      </c>
    </row>
    <row r="81" spans="1:2">
      <c r="A81" t="s">
        <v>105</v>
      </c>
      <c r="B81" t="s">
        <v>1764</v>
      </c>
    </row>
    <row r="82" spans="1:2">
      <c r="A82" t="s">
        <v>105</v>
      </c>
      <c r="B82" t="s">
        <v>1765</v>
      </c>
    </row>
    <row r="83" spans="1:2">
      <c r="A83" t="s">
        <v>106</v>
      </c>
      <c r="B83" t="s">
        <v>1764</v>
      </c>
    </row>
    <row r="84" spans="1:2">
      <c r="A84" t="s">
        <v>106</v>
      </c>
      <c r="B84" t="s">
        <v>1765</v>
      </c>
    </row>
    <row r="85" spans="1:2">
      <c r="A85" t="s">
        <v>107</v>
      </c>
      <c r="B85" t="s">
        <v>1764</v>
      </c>
    </row>
    <row r="86" spans="1:2">
      <c r="A86" t="s">
        <v>107</v>
      </c>
      <c r="B86" t="s">
        <v>1765</v>
      </c>
    </row>
    <row r="87" spans="1:2">
      <c r="A87" t="s">
        <v>108</v>
      </c>
      <c r="B87" t="s">
        <v>1764</v>
      </c>
    </row>
    <row r="88" spans="1:2">
      <c r="A88" t="s">
        <v>108</v>
      </c>
      <c r="B88" t="s">
        <v>1765</v>
      </c>
    </row>
    <row r="89" spans="1:2">
      <c r="A89" t="s">
        <v>109</v>
      </c>
      <c r="B89" t="s">
        <v>1764</v>
      </c>
    </row>
    <row r="90" spans="1:2">
      <c r="A90" t="s">
        <v>109</v>
      </c>
      <c r="B90" t="s">
        <v>1765</v>
      </c>
    </row>
    <row r="91" spans="1:2">
      <c r="A91" t="s">
        <v>110</v>
      </c>
      <c r="B91" t="s">
        <v>1764</v>
      </c>
    </row>
    <row r="92" spans="1:2">
      <c r="A92" t="s">
        <v>110</v>
      </c>
      <c r="B92" t="s">
        <v>1765</v>
      </c>
    </row>
    <row r="93" spans="1:2">
      <c r="A93" t="s">
        <v>111</v>
      </c>
      <c r="B93" t="s">
        <v>1764</v>
      </c>
    </row>
    <row r="94" spans="1:2">
      <c r="A94" t="s">
        <v>111</v>
      </c>
      <c r="B94" t="s">
        <v>1765</v>
      </c>
    </row>
    <row r="95" spans="1:2">
      <c r="A95" t="s">
        <v>112</v>
      </c>
      <c r="B95" t="s">
        <v>1764</v>
      </c>
    </row>
    <row r="96" spans="1:2">
      <c r="A96" t="s">
        <v>112</v>
      </c>
      <c r="B96" t="s">
        <v>1765</v>
      </c>
    </row>
    <row r="97" spans="1:2">
      <c r="A97" t="s">
        <v>113</v>
      </c>
      <c r="B97" t="s">
        <v>1764</v>
      </c>
    </row>
    <row r="98" spans="1:2">
      <c r="A98" t="s">
        <v>113</v>
      </c>
      <c r="B98" t="s">
        <v>1765</v>
      </c>
    </row>
    <row r="99" spans="1:2">
      <c r="A99" t="s">
        <v>114</v>
      </c>
      <c r="B99" t="s">
        <v>1764</v>
      </c>
    </row>
    <row r="100" spans="1:2">
      <c r="A100" t="s">
        <v>114</v>
      </c>
      <c r="B100" t="s">
        <v>1765</v>
      </c>
    </row>
    <row r="101" spans="1:2">
      <c r="A101" t="s">
        <v>115</v>
      </c>
      <c r="B101" t="s">
        <v>1764</v>
      </c>
    </row>
    <row r="102" spans="1:2">
      <c r="A102" t="s">
        <v>115</v>
      </c>
      <c r="B102" t="s">
        <v>1765</v>
      </c>
    </row>
    <row r="103" spans="1:2">
      <c r="A103" t="s">
        <v>116</v>
      </c>
      <c r="B103" t="s">
        <v>1764</v>
      </c>
    </row>
    <row r="104" spans="1:2">
      <c r="A104" t="s">
        <v>116</v>
      </c>
      <c r="B104" t="s">
        <v>1765</v>
      </c>
    </row>
    <row r="105" spans="1:2">
      <c r="A105" t="s">
        <v>117</v>
      </c>
      <c r="B105" t="s">
        <v>1764</v>
      </c>
    </row>
    <row r="106" spans="1:2">
      <c r="A106" t="s">
        <v>117</v>
      </c>
      <c r="B106" t="s">
        <v>1765</v>
      </c>
    </row>
    <row r="107" spans="1:2">
      <c r="A107" t="s">
        <v>117</v>
      </c>
      <c r="B107" t="s">
        <v>1775</v>
      </c>
    </row>
    <row r="108" spans="1:2">
      <c r="A108" t="s">
        <v>117</v>
      </c>
      <c r="B108" t="s">
        <v>1773</v>
      </c>
    </row>
    <row r="109" spans="1:2">
      <c r="A109" t="s">
        <v>118</v>
      </c>
      <c r="B109" t="s">
        <v>1764</v>
      </c>
    </row>
    <row r="110" spans="1:2">
      <c r="A110" t="s">
        <v>118</v>
      </c>
      <c r="B110" t="s">
        <v>1773</v>
      </c>
    </row>
    <row r="111" spans="1:2">
      <c r="A111" t="s">
        <v>119</v>
      </c>
      <c r="B111" t="s">
        <v>1764</v>
      </c>
    </row>
    <row r="112" spans="1:2">
      <c r="A112" t="s">
        <v>119</v>
      </c>
      <c r="B112" t="s">
        <v>1765</v>
      </c>
    </row>
    <row r="113" spans="1:2">
      <c r="A113" t="s">
        <v>119</v>
      </c>
      <c r="B113" t="s">
        <v>1775</v>
      </c>
    </row>
    <row r="114" spans="1:2">
      <c r="A114" t="s">
        <v>120</v>
      </c>
      <c r="B114" t="s">
        <v>1764</v>
      </c>
    </row>
    <row r="115" spans="1:2">
      <c r="A115" t="s">
        <v>120</v>
      </c>
      <c r="B115" t="s">
        <v>1765</v>
      </c>
    </row>
    <row r="116" spans="1:2">
      <c r="A116" t="s">
        <v>121</v>
      </c>
      <c r="B116" t="s">
        <v>1764</v>
      </c>
    </row>
    <row r="117" spans="1:2">
      <c r="A117" t="s">
        <v>121</v>
      </c>
      <c r="B117" t="s">
        <v>1765</v>
      </c>
    </row>
    <row r="118" spans="1:2">
      <c r="A118" t="s">
        <v>121</v>
      </c>
      <c r="B118" t="s">
        <v>1773</v>
      </c>
    </row>
    <row r="119" spans="1:2">
      <c r="A119" t="s">
        <v>121</v>
      </c>
      <c r="B119" t="s">
        <v>1775</v>
      </c>
    </row>
    <row r="120" spans="1:2">
      <c r="A120" t="s">
        <v>122</v>
      </c>
      <c r="B120" t="s">
        <v>1764</v>
      </c>
    </row>
    <row r="121" spans="1:2">
      <c r="A121" t="s">
        <v>122</v>
      </c>
      <c r="B121" t="s">
        <v>1765</v>
      </c>
    </row>
    <row r="122" spans="1:2">
      <c r="A122" t="s">
        <v>122</v>
      </c>
      <c r="B122" t="s">
        <v>1773</v>
      </c>
    </row>
    <row r="123" spans="1:2">
      <c r="A123" t="s">
        <v>122</v>
      </c>
      <c r="B123" t="s">
        <v>1775</v>
      </c>
    </row>
    <row r="124" spans="1:2">
      <c r="A124" t="s">
        <v>123</v>
      </c>
      <c r="B124" t="s">
        <v>1764</v>
      </c>
    </row>
    <row r="125" spans="1:2">
      <c r="A125" t="s">
        <v>123</v>
      </c>
      <c r="B125" t="s">
        <v>1765</v>
      </c>
    </row>
    <row r="126" spans="1:2">
      <c r="A126" t="s">
        <v>124</v>
      </c>
      <c r="B126" t="s">
        <v>1764</v>
      </c>
    </row>
    <row r="127" spans="1:2">
      <c r="A127" t="s">
        <v>124</v>
      </c>
      <c r="B127" t="s">
        <v>1773</v>
      </c>
    </row>
    <row r="128" spans="1:2">
      <c r="A128" t="s">
        <v>124</v>
      </c>
      <c r="B128" t="s">
        <v>1765</v>
      </c>
    </row>
    <row r="129" spans="1:2">
      <c r="A129" t="s">
        <v>125</v>
      </c>
      <c r="B129" t="s">
        <v>1764</v>
      </c>
    </row>
    <row r="130" spans="1:2">
      <c r="A130" t="s">
        <v>125</v>
      </c>
      <c r="B130" t="s">
        <v>1775</v>
      </c>
    </row>
    <row r="131" spans="1:2">
      <c r="A131" t="s">
        <v>126</v>
      </c>
      <c r="B131" t="s">
        <v>1764</v>
      </c>
    </row>
    <row r="132" spans="1:2">
      <c r="A132" t="s">
        <v>126</v>
      </c>
      <c r="B132" t="s">
        <v>1765</v>
      </c>
    </row>
    <row r="133" spans="1:2">
      <c r="A133" t="s">
        <v>127</v>
      </c>
      <c r="B133" t="s">
        <v>1764</v>
      </c>
    </row>
    <row r="134" spans="1:2">
      <c r="A134" t="s">
        <v>127</v>
      </c>
      <c r="B134" t="s">
        <v>1876</v>
      </c>
    </row>
    <row r="135" spans="1:2">
      <c r="A135" t="s">
        <v>127</v>
      </c>
      <c r="B135" t="s">
        <v>1765</v>
      </c>
    </row>
    <row r="136" spans="1:2">
      <c r="A136" t="s">
        <v>128</v>
      </c>
      <c r="B136" t="s">
        <v>1764</v>
      </c>
    </row>
    <row r="137" spans="1:2">
      <c r="A137" t="s">
        <v>128</v>
      </c>
      <c r="B137" t="s">
        <v>1876</v>
      </c>
    </row>
    <row r="138" spans="1:2">
      <c r="A138" t="s">
        <v>1884</v>
      </c>
      <c r="B138" t="s">
        <v>1764</v>
      </c>
    </row>
    <row r="139" spans="1:2">
      <c r="A139" t="s">
        <v>1884</v>
      </c>
      <c r="B139" t="s">
        <v>1876</v>
      </c>
    </row>
    <row r="140" spans="1:2">
      <c r="A140" t="s">
        <v>129</v>
      </c>
      <c r="B140" t="s">
        <v>1764</v>
      </c>
    </row>
    <row r="141" spans="1:2">
      <c r="A141" t="s">
        <v>129</v>
      </c>
      <c r="B141" t="s">
        <v>1876</v>
      </c>
    </row>
    <row r="142" spans="1:2">
      <c r="A142" t="s">
        <v>129</v>
      </c>
      <c r="B142" t="s">
        <v>1880</v>
      </c>
    </row>
    <row r="143" spans="1:2">
      <c r="A143" t="s">
        <v>130</v>
      </c>
      <c r="B143" t="s">
        <v>1764</v>
      </c>
    </row>
    <row r="144" spans="1:2">
      <c r="A144" t="s">
        <v>130</v>
      </c>
      <c r="B144" t="s">
        <v>1876</v>
      </c>
    </row>
    <row r="145" spans="1:2">
      <c r="A145" t="s">
        <v>131</v>
      </c>
      <c r="B145" t="s">
        <v>1764</v>
      </c>
    </row>
    <row r="146" spans="1:2">
      <c r="A146" t="s">
        <v>131</v>
      </c>
      <c r="B146" t="s">
        <v>1765</v>
      </c>
    </row>
    <row r="147" spans="1:2">
      <c r="A147" t="s">
        <v>132</v>
      </c>
      <c r="B147" t="s">
        <v>1764</v>
      </c>
    </row>
    <row r="148" spans="1:2">
      <c r="A148" t="s">
        <v>132</v>
      </c>
      <c r="B148" t="s">
        <v>1876</v>
      </c>
    </row>
    <row r="149" spans="1:2">
      <c r="A149" t="s">
        <v>132</v>
      </c>
      <c r="B149" t="s">
        <v>1765</v>
      </c>
    </row>
    <row r="150" spans="1:2">
      <c r="A150" t="s">
        <v>133</v>
      </c>
      <c r="B150" t="s">
        <v>1764</v>
      </c>
    </row>
    <row r="151" spans="1:2">
      <c r="A151" t="s">
        <v>133</v>
      </c>
      <c r="B151" t="s">
        <v>1876</v>
      </c>
    </row>
    <row r="152" spans="1:2">
      <c r="A152" t="s">
        <v>133</v>
      </c>
      <c r="B152" t="s">
        <v>1765</v>
      </c>
    </row>
    <row r="153" spans="1:2">
      <c r="A153" t="s">
        <v>134</v>
      </c>
      <c r="B153" t="s">
        <v>1764</v>
      </c>
    </row>
    <row r="154" spans="1:2">
      <c r="A154" t="s">
        <v>134</v>
      </c>
      <c r="B154" t="s">
        <v>1876</v>
      </c>
    </row>
    <row r="155" spans="1:2">
      <c r="A155" t="s">
        <v>134</v>
      </c>
      <c r="B155" t="s">
        <v>1765</v>
      </c>
    </row>
    <row r="156" spans="1:2">
      <c r="A156" t="s">
        <v>135</v>
      </c>
      <c r="B156" t="s">
        <v>1764</v>
      </c>
    </row>
    <row r="157" spans="1:2">
      <c r="A157" t="s">
        <v>135</v>
      </c>
      <c r="B157" t="s">
        <v>1765</v>
      </c>
    </row>
    <row r="158" spans="1:2">
      <c r="A158" t="s">
        <v>136</v>
      </c>
      <c r="B158" t="s">
        <v>1764</v>
      </c>
    </row>
    <row r="159" spans="1:2">
      <c r="A159" t="s">
        <v>136</v>
      </c>
      <c r="B159" t="s">
        <v>1876</v>
      </c>
    </row>
    <row r="160" spans="1:2">
      <c r="A160" t="s">
        <v>136</v>
      </c>
      <c r="B160" t="s">
        <v>1765</v>
      </c>
    </row>
    <row r="161" spans="1:2">
      <c r="A161" t="s">
        <v>137</v>
      </c>
      <c r="B161" t="s">
        <v>1764</v>
      </c>
    </row>
    <row r="162" spans="1:2">
      <c r="A162" t="s">
        <v>137</v>
      </c>
      <c r="B162" t="s">
        <v>1876</v>
      </c>
    </row>
    <row r="163" spans="1:2">
      <c r="A163" t="s">
        <v>137</v>
      </c>
      <c r="B163" t="s">
        <v>1765</v>
      </c>
    </row>
    <row r="164" spans="1:2">
      <c r="A164" t="s">
        <v>1885</v>
      </c>
      <c r="B164" t="s">
        <v>1764</v>
      </c>
    </row>
    <row r="165" spans="1:2">
      <c r="A165" t="s">
        <v>1885</v>
      </c>
      <c r="B165" t="s">
        <v>1876</v>
      </c>
    </row>
    <row r="166" spans="1:2">
      <c r="A166" t="s">
        <v>1885</v>
      </c>
      <c r="B166" t="s">
        <v>1765</v>
      </c>
    </row>
    <row r="167" spans="1:2">
      <c r="A167" t="s">
        <v>138</v>
      </c>
      <c r="B167" t="s">
        <v>1764</v>
      </c>
    </row>
    <row r="168" spans="1:2">
      <c r="A168" t="s">
        <v>138</v>
      </c>
      <c r="B168" t="s">
        <v>1876</v>
      </c>
    </row>
    <row r="169" spans="1:2">
      <c r="A169" t="s">
        <v>138</v>
      </c>
      <c r="B169" t="s">
        <v>1765</v>
      </c>
    </row>
    <row r="170" spans="1:2">
      <c r="A170" t="s">
        <v>139</v>
      </c>
      <c r="B170" t="s">
        <v>1764</v>
      </c>
    </row>
    <row r="171" spans="1:2">
      <c r="A171" t="s">
        <v>139</v>
      </c>
      <c r="B171" t="s">
        <v>1876</v>
      </c>
    </row>
    <row r="172" spans="1:2">
      <c r="A172" t="s">
        <v>139</v>
      </c>
      <c r="B172" t="s">
        <v>1765</v>
      </c>
    </row>
    <row r="173" spans="1:2">
      <c r="A173" t="s">
        <v>140</v>
      </c>
      <c r="B173" t="s">
        <v>1764</v>
      </c>
    </row>
    <row r="174" spans="1:2">
      <c r="A174" t="s">
        <v>140</v>
      </c>
      <c r="B174" t="s">
        <v>1876</v>
      </c>
    </row>
    <row r="175" spans="1:2">
      <c r="A175" t="s">
        <v>140</v>
      </c>
      <c r="B175" t="s">
        <v>1765</v>
      </c>
    </row>
    <row r="176" spans="1:2">
      <c r="A176" t="s">
        <v>141</v>
      </c>
      <c r="B176" t="s">
        <v>1764</v>
      </c>
    </row>
    <row r="177" spans="1:2">
      <c r="A177" t="s">
        <v>141</v>
      </c>
      <c r="B177" t="s">
        <v>1876</v>
      </c>
    </row>
    <row r="178" spans="1:2">
      <c r="A178" t="s">
        <v>141</v>
      </c>
      <c r="B178" t="s">
        <v>1765</v>
      </c>
    </row>
    <row r="179" spans="1:2">
      <c r="A179" t="s">
        <v>142</v>
      </c>
      <c r="B179" t="s">
        <v>1764</v>
      </c>
    </row>
    <row r="180" spans="1:2">
      <c r="A180" t="s">
        <v>142</v>
      </c>
      <c r="B180" t="s">
        <v>1876</v>
      </c>
    </row>
    <row r="181" spans="1:2">
      <c r="A181" t="s">
        <v>142</v>
      </c>
      <c r="B181" t="s">
        <v>1765</v>
      </c>
    </row>
    <row r="182" spans="1:2">
      <c r="A182" t="s">
        <v>143</v>
      </c>
      <c r="B182" t="s">
        <v>1764</v>
      </c>
    </row>
    <row r="183" spans="1:2">
      <c r="A183" t="s">
        <v>143</v>
      </c>
      <c r="B183" t="s">
        <v>1876</v>
      </c>
    </row>
    <row r="184" spans="1:2">
      <c r="A184" t="s">
        <v>143</v>
      </c>
      <c r="B184" t="s">
        <v>1765</v>
      </c>
    </row>
    <row r="185" spans="1:2">
      <c r="A185" t="s">
        <v>144</v>
      </c>
      <c r="B185" t="s">
        <v>1764</v>
      </c>
    </row>
    <row r="186" spans="1:2">
      <c r="A186" t="s">
        <v>144</v>
      </c>
      <c r="B186" t="s">
        <v>1765</v>
      </c>
    </row>
    <row r="187" spans="1:2">
      <c r="A187" t="s">
        <v>144</v>
      </c>
      <c r="B187" t="s">
        <v>1876</v>
      </c>
    </row>
    <row r="188" spans="1:2">
      <c r="A188" t="s">
        <v>145</v>
      </c>
      <c r="B188" t="s">
        <v>1764</v>
      </c>
    </row>
    <row r="189" spans="1:2">
      <c r="A189" t="s">
        <v>145</v>
      </c>
      <c r="B189" t="s">
        <v>1765</v>
      </c>
    </row>
    <row r="190" spans="1:2">
      <c r="A190" t="s">
        <v>146</v>
      </c>
      <c r="B190" t="s">
        <v>1764</v>
      </c>
    </row>
    <row r="191" spans="1:2">
      <c r="A191" t="s">
        <v>146</v>
      </c>
      <c r="B191" t="s">
        <v>1876</v>
      </c>
    </row>
    <row r="192" spans="1:2">
      <c r="A192" t="s">
        <v>147</v>
      </c>
      <c r="B192" t="s">
        <v>1764</v>
      </c>
    </row>
    <row r="193" spans="1:2">
      <c r="A193" t="s">
        <v>147</v>
      </c>
      <c r="B193" t="s">
        <v>1765</v>
      </c>
    </row>
    <row r="194" spans="1:2">
      <c r="A194" t="s">
        <v>148</v>
      </c>
      <c r="B194" t="s">
        <v>1764</v>
      </c>
    </row>
    <row r="195" spans="1:2">
      <c r="A195" t="s">
        <v>148</v>
      </c>
      <c r="B195" t="s">
        <v>1765</v>
      </c>
    </row>
    <row r="196" spans="1:2">
      <c r="A196" t="s">
        <v>149</v>
      </c>
      <c r="B196" t="s">
        <v>1764</v>
      </c>
    </row>
    <row r="197" spans="1:2">
      <c r="A197" t="s">
        <v>149</v>
      </c>
      <c r="B197" t="s">
        <v>1765</v>
      </c>
    </row>
    <row r="198" spans="1:2">
      <c r="A198" t="s">
        <v>150</v>
      </c>
      <c r="B198" t="s">
        <v>1764</v>
      </c>
    </row>
    <row r="199" spans="1:2">
      <c r="A199" t="s">
        <v>150</v>
      </c>
      <c r="B199" t="s">
        <v>1765</v>
      </c>
    </row>
    <row r="200" spans="1:2">
      <c r="A200" t="s">
        <v>151</v>
      </c>
      <c r="B200" t="s">
        <v>1764</v>
      </c>
    </row>
    <row r="201" spans="1:2">
      <c r="A201" t="s">
        <v>151</v>
      </c>
      <c r="B201" t="s">
        <v>1765</v>
      </c>
    </row>
    <row r="202" spans="1:2">
      <c r="A202" t="s">
        <v>152</v>
      </c>
      <c r="B202" t="s">
        <v>1764</v>
      </c>
    </row>
    <row r="203" spans="1:2">
      <c r="A203" t="s">
        <v>152</v>
      </c>
      <c r="B203" t="s">
        <v>1765</v>
      </c>
    </row>
    <row r="204" spans="1:2">
      <c r="A204" t="s">
        <v>153</v>
      </c>
      <c r="B204" t="s">
        <v>1764</v>
      </c>
    </row>
    <row r="205" spans="1:2">
      <c r="A205" t="s">
        <v>153</v>
      </c>
      <c r="B205" t="s">
        <v>1765</v>
      </c>
    </row>
    <row r="206" spans="1:2">
      <c r="A206" t="s">
        <v>154</v>
      </c>
      <c r="B206" t="s">
        <v>1764</v>
      </c>
    </row>
    <row r="207" spans="1:2">
      <c r="A207" t="s">
        <v>154</v>
      </c>
      <c r="B207" t="s">
        <v>1765</v>
      </c>
    </row>
    <row r="208" spans="1:2">
      <c r="A208" t="s">
        <v>154</v>
      </c>
      <c r="B208" t="s">
        <v>1766</v>
      </c>
    </row>
    <row r="209" spans="1:2">
      <c r="A209" t="s">
        <v>155</v>
      </c>
      <c r="B209" t="s">
        <v>1764</v>
      </c>
    </row>
    <row r="210" spans="1:2">
      <c r="A210" t="s">
        <v>155</v>
      </c>
      <c r="B210" t="s">
        <v>1765</v>
      </c>
    </row>
    <row r="211" spans="1:2">
      <c r="A211" t="s">
        <v>156</v>
      </c>
      <c r="B211" t="s">
        <v>1764</v>
      </c>
    </row>
    <row r="212" spans="1:2">
      <c r="A212" t="s">
        <v>156</v>
      </c>
      <c r="B212" t="s">
        <v>1765</v>
      </c>
    </row>
    <row r="213" spans="1:2">
      <c r="A213" t="s">
        <v>157</v>
      </c>
      <c r="B213" t="s">
        <v>1764</v>
      </c>
    </row>
    <row r="214" spans="1:2">
      <c r="A214" t="s">
        <v>157</v>
      </c>
      <c r="B214" t="s">
        <v>1765</v>
      </c>
    </row>
    <row r="215" spans="1:2">
      <c r="A215" t="s">
        <v>158</v>
      </c>
      <c r="B215" t="s">
        <v>1764</v>
      </c>
    </row>
    <row r="216" spans="1:2">
      <c r="A216" t="s">
        <v>158</v>
      </c>
      <c r="B216" t="s">
        <v>1765</v>
      </c>
    </row>
    <row r="217" spans="1:2">
      <c r="A217" t="s">
        <v>159</v>
      </c>
      <c r="B217" t="s">
        <v>1764</v>
      </c>
    </row>
    <row r="218" spans="1:2">
      <c r="A218" t="s">
        <v>159</v>
      </c>
      <c r="B218" t="s">
        <v>1765</v>
      </c>
    </row>
    <row r="219" spans="1:2">
      <c r="A219" t="s">
        <v>160</v>
      </c>
      <c r="B219" t="s">
        <v>1764</v>
      </c>
    </row>
    <row r="220" spans="1:2">
      <c r="A220" t="s">
        <v>160</v>
      </c>
      <c r="B220" t="s">
        <v>1765</v>
      </c>
    </row>
    <row r="221" spans="1:2">
      <c r="A221" t="s">
        <v>160</v>
      </c>
      <c r="B221" t="s">
        <v>1870</v>
      </c>
    </row>
    <row r="222" spans="1:2">
      <c r="A222" t="s">
        <v>161</v>
      </c>
      <c r="B222" t="s">
        <v>1764</v>
      </c>
    </row>
    <row r="223" spans="1:2">
      <c r="A223" t="s">
        <v>161</v>
      </c>
      <c r="B223" t="s">
        <v>1870</v>
      </c>
    </row>
    <row r="224" spans="1:2">
      <c r="A224" t="s">
        <v>161</v>
      </c>
      <c r="B224" t="s">
        <v>1765</v>
      </c>
    </row>
    <row r="225" spans="1:2">
      <c r="A225" t="s">
        <v>162</v>
      </c>
      <c r="B225" t="s">
        <v>1764</v>
      </c>
    </row>
    <row r="226" spans="1:2">
      <c r="A226" t="s">
        <v>162</v>
      </c>
      <c r="B226" t="s">
        <v>1765</v>
      </c>
    </row>
    <row r="227" spans="1:2">
      <c r="A227" t="s">
        <v>162</v>
      </c>
      <c r="B227" t="s">
        <v>1866</v>
      </c>
    </row>
    <row r="228" spans="1:2">
      <c r="A228" t="s">
        <v>163</v>
      </c>
      <c r="B228" t="s">
        <v>1764</v>
      </c>
    </row>
    <row r="229" spans="1:2">
      <c r="A229" t="s">
        <v>163</v>
      </c>
      <c r="B229" t="s">
        <v>1765</v>
      </c>
    </row>
    <row r="230" spans="1:2">
      <c r="A230" t="s">
        <v>163</v>
      </c>
      <c r="B230" t="s">
        <v>1866</v>
      </c>
    </row>
    <row r="231" spans="1:2">
      <c r="A231" t="s">
        <v>164</v>
      </c>
      <c r="B231" t="s">
        <v>1866</v>
      </c>
    </row>
    <row r="232" spans="1:2">
      <c r="A232" t="s">
        <v>165</v>
      </c>
      <c r="B232" t="s">
        <v>1866</v>
      </c>
    </row>
    <row r="233" spans="1:2">
      <c r="A233" t="s">
        <v>166</v>
      </c>
      <c r="B233" t="s">
        <v>1866</v>
      </c>
    </row>
    <row r="234" spans="1:2">
      <c r="A234" t="s">
        <v>167</v>
      </c>
      <c r="B234" t="s">
        <v>1764</v>
      </c>
    </row>
    <row r="235" spans="1:2">
      <c r="A235" t="s">
        <v>167</v>
      </c>
      <c r="B235" t="s">
        <v>1866</v>
      </c>
    </row>
    <row r="236" spans="1:2">
      <c r="A236" t="s">
        <v>168</v>
      </c>
      <c r="B236" t="s">
        <v>1866</v>
      </c>
    </row>
    <row r="237" spans="1:2">
      <c r="A237" t="s">
        <v>169</v>
      </c>
      <c r="B237" t="s">
        <v>1765</v>
      </c>
    </row>
    <row r="238" spans="1:2">
      <c r="A238" t="s">
        <v>169</v>
      </c>
      <c r="B238" t="s">
        <v>1866</v>
      </c>
    </row>
    <row r="239" spans="1:2">
      <c r="A239" t="s">
        <v>169</v>
      </c>
      <c r="B239" t="s">
        <v>1779</v>
      </c>
    </row>
    <row r="240" spans="1:2">
      <c r="A240" t="s">
        <v>170</v>
      </c>
      <c r="B240" t="s">
        <v>1764</v>
      </c>
    </row>
    <row r="241" spans="1:2">
      <c r="A241" t="s">
        <v>170</v>
      </c>
      <c r="B241" t="s">
        <v>1866</v>
      </c>
    </row>
    <row r="242" spans="1:2">
      <c r="A242" t="s">
        <v>171</v>
      </c>
      <c r="B242" t="s">
        <v>1866</v>
      </c>
    </row>
    <row r="243" spans="1:2">
      <c r="A243" t="s">
        <v>172</v>
      </c>
      <c r="B243" t="s">
        <v>1866</v>
      </c>
    </row>
    <row r="244" spans="1:2">
      <c r="A244" t="s">
        <v>172</v>
      </c>
      <c r="B244" t="s">
        <v>1765</v>
      </c>
    </row>
    <row r="245" spans="1:2">
      <c r="A245" t="s">
        <v>172</v>
      </c>
      <c r="B245" t="s">
        <v>1779</v>
      </c>
    </row>
    <row r="246" spans="1:2">
      <c r="A246" t="s">
        <v>173</v>
      </c>
      <c r="B246" t="s">
        <v>1764</v>
      </c>
    </row>
    <row r="247" spans="1:2">
      <c r="A247" t="s">
        <v>173</v>
      </c>
      <c r="B247" t="s">
        <v>1866</v>
      </c>
    </row>
    <row r="248" spans="1:2">
      <c r="A248" t="s">
        <v>174</v>
      </c>
      <c r="B248" t="s">
        <v>1764</v>
      </c>
    </row>
    <row r="249" spans="1:2">
      <c r="A249" t="s">
        <v>174</v>
      </c>
      <c r="B249" t="s">
        <v>1866</v>
      </c>
    </row>
    <row r="250" spans="1:2">
      <c r="A250" t="s">
        <v>174</v>
      </c>
      <c r="B250" t="s">
        <v>1779</v>
      </c>
    </row>
    <row r="251" spans="1:2">
      <c r="A251" t="s">
        <v>174</v>
      </c>
      <c r="B251" t="s">
        <v>1765</v>
      </c>
    </row>
    <row r="252" spans="1:2">
      <c r="A252" t="s">
        <v>175</v>
      </c>
      <c r="B252" t="s">
        <v>1764</v>
      </c>
    </row>
    <row r="253" spans="1:2">
      <c r="A253" t="s">
        <v>175</v>
      </c>
      <c r="B253" t="s">
        <v>1866</v>
      </c>
    </row>
    <row r="254" spans="1:2">
      <c r="A254" t="s">
        <v>175</v>
      </c>
      <c r="B254" t="s">
        <v>1765</v>
      </c>
    </row>
    <row r="255" spans="1:2">
      <c r="A255" t="s">
        <v>175</v>
      </c>
      <c r="B255" t="s">
        <v>1779</v>
      </c>
    </row>
    <row r="256" spans="1:2">
      <c r="A256" t="s">
        <v>176</v>
      </c>
      <c r="B256" t="s">
        <v>1764</v>
      </c>
    </row>
    <row r="257" spans="1:2">
      <c r="A257" t="s">
        <v>176</v>
      </c>
      <c r="B257" t="s">
        <v>1866</v>
      </c>
    </row>
    <row r="258" spans="1:2">
      <c r="A258" t="s">
        <v>176</v>
      </c>
      <c r="B258" t="s">
        <v>1779</v>
      </c>
    </row>
    <row r="259" spans="1:2">
      <c r="A259" t="s">
        <v>177</v>
      </c>
      <c r="B259" t="s">
        <v>1764</v>
      </c>
    </row>
    <row r="260" spans="1:2">
      <c r="A260" t="s">
        <v>177</v>
      </c>
      <c r="B260" t="s">
        <v>1866</v>
      </c>
    </row>
    <row r="261" spans="1:2">
      <c r="A261" t="s">
        <v>177</v>
      </c>
      <c r="B261" t="s">
        <v>1765</v>
      </c>
    </row>
    <row r="262" spans="1:2">
      <c r="A262" t="s">
        <v>177</v>
      </c>
      <c r="B262" t="s">
        <v>1779</v>
      </c>
    </row>
    <row r="263" spans="1:2">
      <c r="A263" t="s">
        <v>178</v>
      </c>
      <c r="B263" t="s">
        <v>1764</v>
      </c>
    </row>
    <row r="264" spans="1:2">
      <c r="A264" t="s">
        <v>178</v>
      </c>
      <c r="B264" t="s">
        <v>1866</v>
      </c>
    </row>
    <row r="265" spans="1:2">
      <c r="A265" t="s">
        <v>178</v>
      </c>
      <c r="B265" t="s">
        <v>1765</v>
      </c>
    </row>
    <row r="266" spans="1:2">
      <c r="A266" t="s">
        <v>178</v>
      </c>
      <c r="B266" t="s">
        <v>1779</v>
      </c>
    </row>
    <row r="267" spans="1:2">
      <c r="A267" t="s">
        <v>179</v>
      </c>
      <c r="B267" t="s">
        <v>1764</v>
      </c>
    </row>
    <row r="268" spans="1:2">
      <c r="A268" t="s">
        <v>179</v>
      </c>
      <c r="B268" t="s">
        <v>1866</v>
      </c>
    </row>
    <row r="269" spans="1:2">
      <c r="A269" t="s">
        <v>179</v>
      </c>
      <c r="B269" t="s">
        <v>1765</v>
      </c>
    </row>
    <row r="270" spans="1:2">
      <c r="A270" t="s">
        <v>179</v>
      </c>
      <c r="B270" t="s">
        <v>1779</v>
      </c>
    </row>
    <row r="271" spans="1:2">
      <c r="A271" t="s">
        <v>180</v>
      </c>
      <c r="B271" t="s">
        <v>1764</v>
      </c>
    </row>
    <row r="272" spans="1:2">
      <c r="A272" t="s">
        <v>180</v>
      </c>
      <c r="B272" t="s">
        <v>1765</v>
      </c>
    </row>
    <row r="273" spans="1:2">
      <c r="A273" t="s">
        <v>181</v>
      </c>
      <c r="B273" t="s">
        <v>1764</v>
      </c>
    </row>
    <row r="274" spans="1:2">
      <c r="A274" t="s">
        <v>181</v>
      </c>
      <c r="B274" t="s">
        <v>1765</v>
      </c>
    </row>
    <row r="275" spans="1:2">
      <c r="A275" t="s">
        <v>182</v>
      </c>
      <c r="B275" t="s">
        <v>1764</v>
      </c>
    </row>
    <row r="276" spans="1:2">
      <c r="A276" t="s">
        <v>182</v>
      </c>
      <c r="B276" t="s">
        <v>1765</v>
      </c>
    </row>
    <row r="277" spans="1:2">
      <c r="A277" t="s">
        <v>183</v>
      </c>
      <c r="B277" t="s">
        <v>1764</v>
      </c>
    </row>
    <row r="278" spans="1:2">
      <c r="A278" t="s">
        <v>183</v>
      </c>
      <c r="B278" t="s">
        <v>1765</v>
      </c>
    </row>
    <row r="279" spans="1:2">
      <c r="A279" t="s">
        <v>184</v>
      </c>
      <c r="B279" t="s">
        <v>1764</v>
      </c>
    </row>
    <row r="280" spans="1:2">
      <c r="A280" t="s">
        <v>184</v>
      </c>
      <c r="B280" t="s">
        <v>1765</v>
      </c>
    </row>
    <row r="281" spans="1:2">
      <c r="A281" t="s">
        <v>185</v>
      </c>
      <c r="B281" t="s">
        <v>1764</v>
      </c>
    </row>
    <row r="282" spans="1:2">
      <c r="A282" t="s">
        <v>185</v>
      </c>
      <c r="B282" t="s">
        <v>1765</v>
      </c>
    </row>
    <row r="283" spans="1:2">
      <c r="A283" t="s">
        <v>186</v>
      </c>
      <c r="B283" t="s">
        <v>1764</v>
      </c>
    </row>
    <row r="284" spans="1:2">
      <c r="A284" t="s">
        <v>186</v>
      </c>
      <c r="B284" t="s">
        <v>1765</v>
      </c>
    </row>
    <row r="285" spans="1:2">
      <c r="A285" t="s">
        <v>187</v>
      </c>
      <c r="B285" t="s">
        <v>1781</v>
      </c>
    </row>
    <row r="286" spans="1:2">
      <c r="A286" t="s">
        <v>188</v>
      </c>
      <c r="B286" t="s">
        <v>1781</v>
      </c>
    </row>
    <row r="287" spans="1:2">
      <c r="A287" t="s">
        <v>189</v>
      </c>
      <c r="B287" t="s">
        <v>1781</v>
      </c>
    </row>
    <row r="288" spans="1:2">
      <c r="A288" t="s">
        <v>190</v>
      </c>
      <c r="B288" t="s">
        <v>1781</v>
      </c>
    </row>
    <row r="289" spans="1:2">
      <c r="A289" t="s">
        <v>191</v>
      </c>
      <c r="B289" t="s">
        <v>1781</v>
      </c>
    </row>
    <row r="290" spans="1:2">
      <c r="A290" t="s">
        <v>192</v>
      </c>
      <c r="B290" t="s">
        <v>1781</v>
      </c>
    </row>
    <row r="291" spans="1:2">
      <c r="A291" t="s">
        <v>193</v>
      </c>
      <c r="B291" t="s">
        <v>1764</v>
      </c>
    </row>
    <row r="292" spans="1:2">
      <c r="A292" t="s">
        <v>193</v>
      </c>
      <c r="B292" t="s">
        <v>1876</v>
      </c>
    </row>
    <row r="293" spans="1:2">
      <c r="A293" t="s">
        <v>194</v>
      </c>
      <c r="B293" t="s">
        <v>1764</v>
      </c>
    </row>
    <row r="294" spans="1:2">
      <c r="A294" t="s">
        <v>194</v>
      </c>
      <c r="B294" t="s">
        <v>1765</v>
      </c>
    </row>
    <row r="295" spans="1:2">
      <c r="A295" t="s">
        <v>195</v>
      </c>
      <c r="B295" t="s">
        <v>1764</v>
      </c>
    </row>
    <row r="296" spans="1:2">
      <c r="A296" t="s">
        <v>195</v>
      </c>
      <c r="B296" t="s">
        <v>1765</v>
      </c>
    </row>
    <row r="297" spans="1:2">
      <c r="A297" t="s">
        <v>195</v>
      </c>
      <c r="B297" t="s">
        <v>1766</v>
      </c>
    </row>
    <row r="298" spans="1:2">
      <c r="A298" t="s">
        <v>196</v>
      </c>
      <c r="B298" t="s">
        <v>1764</v>
      </c>
    </row>
    <row r="299" spans="1:2">
      <c r="A299" t="s">
        <v>196</v>
      </c>
      <c r="B299" t="s">
        <v>1766</v>
      </c>
    </row>
    <row r="300" spans="1:2">
      <c r="A300" t="s">
        <v>196</v>
      </c>
      <c r="B300" t="s">
        <v>1765</v>
      </c>
    </row>
    <row r="301" spans="1:2">
      <c r="A301" t="s">
        <v>197</v>
      </c>
      <c r="B301" t="s">
        <v>1764</v>
      </c>
    </row>
    <row r="302" spans="1:2">
      <c r="A302" t="s">
        <v>197</v>
      </c>
      <c r="B302" t="s">
        <v>1766</v>
      </c>
    </row>
    <row r="303" spans="1:2">
      <c r="A303" t="s">
        <v>197</v>
      </c>
      <c r="B303" t="s">
        <v>1765</v>
      </c>
    </row>
    <row r="304" spans="1:2">
      <c r="A304" t="s">
        <v>198</v>
      </c>
      <c r="B304" t="s">
        <v>1764</v>
      </c>
    </row>
    <row r="305" spans="1:2">
      <c r="A305" t="s">
        <v>198</v>
      </c>
      <c r="B305" t="s">
        <v>1766</v>
      </c>
    </row>
    <row r="306" spans="1:2">
      <c r="A306" t="s">
        <v>198</v>
      </c>
      <c r="B306" t="s">
        <v>1765</v>
      </c>
    </row>
    <row r="307" spans="1:2">
      <c r="A307" t="s">
        <v>199</v>
      </c>
      <c r="B307" t="s">
        <v>1764</v>
      </c>
    </row>
    <row r="308" spans="1:2">
      <c r="A308" t="s">
        <v>199</v>
      </c>
      <c r="B308" t="s">
        <v>1766</v>
      </c>
    </row>
    <row r="309" spans="1:2">
      <c r="A309" t="s">
        <v>200</v>
      </c>
      <c r="B309" t="s">
        <v>1764</v>
      </c>
    </row>
    <row r="310" spans="1:2">
      <c r="A310" t="s">
        <v>200</v>
      </c>
      <c r="B310" t="s">
        <v>1766</v>
      </c>
    </row>
    <row r="311" spans="1:2">
      <c r="A311" t="s">
        <v>200</v>
      </c>
      <c r="B311" t="s">
        <v>1765</v>
      </c>
    </row>
    <row r="312" spans="1:2">
      <c r="A312" t="s">
        <v>201</v>
      </c>
      <c r="B312" t="s">
        <v>1764</v>
      </c>
    </row>
    <row r="313" spans="1:2">
      <c r="A313" t="s">
        <v>201</v>
      </c>
      <c r="B313" t="s">
        <v>1766</v>
      </c>
    </row>
    <row r="314" spans="1:2">
      <c r="A314" t="s">
        <v>202</v>
      </c>
      <c r="B314" t="s">
        <v>1764</v>
      </c>
    </row>
    <row r="315" spans="1:2">
      <c r="A315" t="s">
        <v>202</v>
      </c>
      <c r="B315" t="s">
        <v>1766</v>
      </c>
    </row>
    <row r="316" spans="1:2">
      <c r="A316" t="s">
        <v>202</v>
      </c>
      <c r="B316" t="s">
        <v>1765</v>
      </c>
    </row>
    <row r="317" spans="1:2">
      <c r="A317" t="s">
        <v>203</v>
      </c>
      <c r="B317" t="s">
        <v>1764</v>
      </c>
    </row>
    <row r="318" spans="1:2">
      <c r="A318" t="s">
        <v>203</v>
      </c>
      <c r="B318" t="s">
        <v>1766</v>
      </c>
    </row>
    <row r="319" spans="1:2">
      <c r="A319" t="s">
        <v>204</v>
      </c>
      <c r="B319" t="s">
        <v>1766</v>
      </c>
    </row>
    <row r="320" spans="1:2">
      <c r="A320" t="s">
        <v>205</v>
      </c>
      <c r="B320" t="s">
        <v>1766</v>
      </c>
    </row>
    <row r="321" spans="1:2">
      <c r="A321" t="s">
        <v>206</v>
      </c>
      <c r="B321" t="s">
        <v>1766</v>
      </c>
    </row>
    <row r="322" spans="1:2">
      <c r="A322" t="s">
        <v>207</v>
      </c>
      <c r="B322" t="s">
        <v>1766</v>
      </c>
    </row>
    <row r="323" spans="1:2">
      <c r="A323" t="s">
        <v>208</v>
      </c>
      <c r="B323" t="s">
        <v>1764</v>
      </c>
    </row>
    <row r="324" spans="1:2">
      <c r="A324" t="s">
        <v>208</v>
      </c>
      <c r="B324" t="s">
        <v>1765</v>
      </c>
    </row>
    <row r="325" spans="1:2">
      <c r="A325" t="s">
        <v>209</v>
      </c>
      <c r="B325" t="s">
        <v>1766</v>
      </c>
    </row>
    <row r="326" spans="1:2">
      <c r="A326" t="s">
        <v>209</v>
      </c>
      <c r="B326" t="s">
        <v>1765</v>
      </c>
    </row>
    <row r="327" spans="1:2">
      <c r="A327" t="s">
        <v>210</v>
      </c>
      <c r="B327" t="s">
        <v>1764</v>
      </c>
    </row>
    <row r="328" spans="1:2">
      <c r="A328" t="s">
        <v>210</v>
      </c>
      <c r="B328" t="s">
        <v>1766</v>
      </c>
    </row>
    <row r="329" spans="1:2">
      <c r="A329" t="s">
        <v>211</v>
      </c>
      <c r="B329" t="s">
        <v>1764</v>
      </c>
    </row>
    <row r="330" spans="1:2">
      <c r="A330" t="s">
        <v>211</v>
      </c>
      <c r="B330" t="s">
        <v>1766</v>
      </c>
    </row>
    <row r="331" spans="1:2">
      <c r="A331" t="s">
        <v>211</v>
      </c>
      <c r="B331" t="s">
        <v>1765</v>
      </c>
    </row>
    <row r="332" spans="1:2">
      <c r="A332" t="s">
        <v>212</v>
      </c>
      <c r="B332" t="s">
        <v>1764</v>
      </c>
    </row>
    <row r="333" spans="1:2">
      <c r="A333" t="s">
        <v>212</v>
      </c>
      <c r="B333" t="s">
        <v>1765</v>
      </c>
    </row>
    <row r="334" spans="1:2">
      <c r="A334" t="s">
        <v>213</v>
      </c>
      <c r="B334" t="s">
        <v>1764</v>
      </c>
    </row>
    <row r="335" spans="1:2">
      <c r="A335" t="s">
        <v>213</v>
      </c>
      <c r="B335" t="s">
        <v>1766</v>
      </c>
    </row>
    <row r="336" spans="1:2">
      <c r="A336" t="s">
        <v>213</v>
      </c>
      <c r="B336" t="s">
        <v>1765</v>
      </c>
    </row>
    <row r="337" spans="1:2">
      <c r="A337" t="s">
        <v>214</v>
      </c>
      <c r="B337" t="s">
        <v>1766</v>
      </c>
    </row>
    <row r="338" spans="1:2">
      <c r="A338" t="s">
        <v>215</v>
      </c>
      <c r="B338" t="s">
        <v>1766</v>
      </c>
    </row>
    <row r="339" spans="1:2">
      <c r="A339" t="s">
        <v>215</v>
      </c>
      <c r="B339" t="s">
        <v>1765</v>
      </c>
    </row>
    <row r="340" spans="1:2">
      <c r="A340" t="s">
        <v>216</v>
      </c>
      <c r="B340" t="s">
        <v>1766</v>
      </c>
    </row>
    <row r="341" spans="1:2">
      <c r="A341" t="s">
        <v>217</v>
      </c>
      <c r="B341" t="s">
        <v>1766</v>
      </c>
    </row>
    <row r="342" spans="1:2">
      <c r="A342" t="s">
        <v>217</v>
      </c>
      <c r="B342" t="s">
        <v>1765</v>
      </c>
    </row>
    <row r="343" spans="1:2">
      <c r="A343" t="s">
        <v>218</v>
      </c>
      <c r="B343" t="s">
        <v>1766</v>
      </c>
    </row>
    <row r="344" spans="1:2">
      <c r="A344" t="s">
        <v>219</v>
      </c>
      <c r="B344" t="s">
        <v>1766</v>
      </c>
    </row>
    <row r="345" spans="1:2">
      <c r="A345" t="s">
        <v>220</v>
      </c>
      <c r="B345" t="s">
        <v>1764</v>
      </c>
    </row>
    <row r="346" spans="1:2">
      <c r="A346" t="s">
        <v>220</v>
      </c>
      <c r="B346" t="s">
        <v>1766</v>
      </c>
    </row>
    <row r="347" spans="1:2">
      <c r="A347" t="s">
        <v>220</v>
      </c>
      <c r="B347" t="s">
        <v>1765</v>
      </c>
    </row>
    <row r="348" spans="1:2">
      <c r="A348" t="s">
        <v>221</v>
      </c>
      <c r="B348" t="s">
        <v>1765</v>
      </c>
    </row>
    <row r="349" spans="1:2">
      <c r="A349" t="s">
        <v>222</v>
      </c>
      <c r="B349" t="s">
        <v>1766</v>
      </c>
    </row>
    <row r="350" spans="1:2">
      <c r="A350" t="s">
        <v>223</v>
      </c>
      <c r="B350" t="s">
        <v>1764</v>
      </c>
    </row>
    <row r="351" spans="1:2">
      <c r="A351" t="s">
        <v>223</v>
      </c>
      <c r="B351" t="s">
        <v>1766</v>
      </c>
    </row>
    <row r="352" spans="1:2">
      <c r="A352" t="s">
        <v>224</v>
      </c>
      <c r="B352" t="s">
        <v>1764</v>
      </c>
    </row>
    <row r="353" spans="1:2">
      <c r="A353" t="s">
        <v>224</v>
      </c>
      <c r="B353" t="s">
        <v>1766</v>
      </c>
    </row>
    <row r="354" spans="1:2">
      <c r="A354" t="s">
        <v>225</v>
      </c>
      <c r="B354" t="s">
        <v>1766</v>
      </c>
    </row>
    <row r="355" spans="1:2">
      <c r="A355" t="s">
        <v>225</v>
      </c>
      <c r="B355" t="s">
        <v>1765</v>
      </c>
    </row>
    <row r="356" spans="1:2">
      <c r="A356" t="s">
        <v>226</v>
      </c>
      <c r="B356" t="s">
        <v>1765</v>
      </c>
    </row>
    <row r="357" spans="1:2">
      <c r="A357" t="s">
        <v>227</v>
      </c>
      <c r="B357" t="s">
        <v>1765</v>
      </c>
    </row>
    <row r="358" spans="1:2">
      <c r="A358" t="s">
        <v>228</v>
      </c>
      <c r="B358" t="s">
        <v>1765</v>
      </c>
    </row>
    <row r="359" spans="1:2">
      <c r="A359" t="s">
        <v>229</v>
      </c>
      <c r="B359" t="s">
        <v>1765</v>
      </c>
    </row>
    <row r="360" spans="1:2">
      <c r="A360" t="s">
        <v>230</v>
      </c>
      <c r="B360" t="s">
        <v>1765</v>
      </c>
    </row>
    <row r="361" spans="1:2">
      <c r="A361" t="s">
        <v>231</v>
      </c>
      <c r="B361" t="s">
        <v>1765</v>
      </c>
    </row>
    <row r="362" spans="1:2">
      <c r="A362" t="s">
        <v>232</v>
      </c>
      <c r="B362" t="s">
        <v>1764</v>
      </c>
    </row>
    <row r="363" spans="1:2">
      <c r="A363" t="s">
        <v>232</v>
      </c>
      <c r="B363" t="s">
        <v>1765</v>
      </c>
    </row>
    <row r="364" spans="1:2">
      <c r="A364" t="s">
        <v>233</v>
      </c>
      <c r="B364" t="s">
        <v>1773</v>
      </c>
    </row>
    <row r="365" spans="1:2">
      <c r="A365" t="s">
        <v>234</v>
      </c>
      <c r="B365" t="s">
        <v>1773</v>
      </c>
    </row>
    <row r="366" spans="1:2">
      <c r="A366" t="s">
        <v>234</v>
      </c>
      <c r="B366" t="s">
        <v>1765</v>
      </c>
    </row>
    <row r="367" spans="1:2">
      <c r="A367" t="s">
        <v>235</v>
      </c>
      <c r="B367" t="s">
        <v>1766</v>
      </c>
    </row>
    <row r="368" spans="1:2">
      <c r="A368" t="s">
        <v>236</v>
      </c>
      <c r="B368" t="s">
        <v>1764</v>
      </c>
    </row>
    <row r="369" spans="1:2">
      <c r="A369" t="s">
        <v>236</v>
      </c>
      <c r="B369" t="s">
        <v>1766</v>
      </c>
    </row>
    <row r="370" spans="1:2">
      <c r="A370" t="s">
        <v>237</v>
      </c>
      <c r="B370" t="s">
        <v>1765</v>
      </c>
    </row>
    <row r="371" spans="1:2">
      <c r="A371" t="s">
        <v>237</v>
      </c>
      <c r="B371" t="s">
        <v>1766</v>
      </c>
    </row>
    <row r="372" spans="1:2">
      <c r="A372" t="s">
        <v>238</v>
      </c>
      <c r="B372" t="s">
        <v>1766</v>
      </c>
    </row>
    <row r="373" spans="1:2">
      <c r="A373" t="s">
        <v>239</v>
      </c>
      <c r="B373" t="s">
        <v>1766</v>
      </c>
    </row>
    <row r="374" spans="1:2">
      <c r="A374" t="s">
        <v>240</v>
      </c>
      <c r="B374" t="s">
        <v>1766</v>
      </c>
    </row>
    <row r="375" spans="1:2">
      <c r="A375" t="s">
        <v>241</v>
      </c>
      <c r="B375" t="s">
        <v>1766</v>
      </c>
    </row>
    <row r="376" spans="1:2">
      <c r="A376" t="s">
        <v>242</v>
      </c>
      <c r="B376" t="s">
        <v>1766</v>
      </c>
    </row>
    <row r="377" spans="1:2">
      <c r="A377" t="s">
        <v>243</v>
      </c>
      <c r="B377" t="s">
        <v>1765</v>
      </c>
    </row>
    <row r="378" spans="1:2">
      <c r="A378" t="s">
        <v>244</v>
      </c>
      <c r="B378" t="s">
        <v>1764</v>
      </c>
    </row>
    <row r="379" spans="1:2">
      <c r="A379" t="s">
        <v>244</v>
      </c>
      <c r="B379" t="s">
        <v>1765</v>
      </c>
    </row>
    <row r="380" spans="1:2">
      <c r="A380" t="s">
        <v>245</v>
      </c>
      <c r="B380" t="s">
        <v>1764</v>
      </c>
    </row>
    <row r="381" spans="1:2">
      <c r="A381" t="s">
        <v>245</v>
      </c>
      <c r="B381" t="s">
        <v>1765</v>
      </c>
    </row>
    <row r="382" spans="1:2">
      <c r="A382" t="s">
        <v>246</v>
      </c>
      <c r="B382" t="s">
        <v>1765</v>
      </c>
    </row>
    <row r="383" spans="1:2">
      <c r="A383" t="s">
        <v>247</v>
      </c>
      <c r="B383" t="s">
        <v>1764</v>
      </c>
    </row>
    <row r="384" spans="1:2">
      <c r="A384" t="s">
        <v>247</v>
      </c>
      <c r="B384" t="s">
        <v>1765</v>
      </c>
    </row>
    <row r="385" spans="1:2">
      <c r="A385" t="s">
        <v>248</v>
      </c>
      <c r="B385" t="s">
        <v>1765</v>
      </c>
    </row>
    <row r="386" spans="1:2">
      <c r="A386" t="s">
        <v>249</v>
      </c>
      <c r="B386" t="s">
        <v>1765</v>
      </c>
    </row>
    <row r="387" spans="1:2">
      <c r="A387" t="s">
        <v>250</v>
      </c>
      <c r="B387" t="s">
        <v>1765</v>
      </c>
    </row>
    <row r="388" spans="1:2">
      <c r="A388" t="s">
        <v>251</v>
      </c>
      <c r="B388" t="s">
        <v>1765</v>
      </c>
    </row>
    <row r="389" spans="1:2">
      <c r="A389" t="s">
        <v>252</v>
      </c>
      <c r="B389" t="s">
        <v>1765</v>
      </c>
    </row>
    <row r="390" spans="1:2">
      <c r="A390" t="s">
        <v>253</v>
      </c>
      <c r="B390" t="s">
        <v>1765</v>
      </c>
    </row>
    <row r="391" spans="1:2">
      <c r="A391" t="s">
        <v>254</v>
      </c>
      <c r="B391" t="s">
        <v>1765</v>
      </c>
    </row>
    <row r="392" spans="1:2">
      <c r="A392" t="s">
        <v>255</v>
      </c>
      <c r="B392" t="s">
        <v>1765</v>
      </c>
    </row>
    <row r="393" spans="1:2">
      <c r="A393" t="s">
        <v>256</v>
      </c>
      <c r="B393" t="s">
        <v>1765</v>
      </c>
    </row>
    <row r="394" spans="1:2">
      <c r="A394" t="s">
        <v>257</v>
      </c>
      <c r="B394" t="s">
        <v>1764</v>
      </c>
    </row>
    <row r="395" spans="1:2">
      <c r="A395" t="s">
        <v>257</v>
      </c>
      <c r="B395" t="s">
        <v>1765</v>
      </c>
    </row>
    <row r="396" spans="1:2">
      <c r="A396" t="s">
        <v>258</v>
      </c>
      <c r="B396" t="s">
        <v>1764</v>
      </c>
    </row>
    <row r="397" spans="1:2">
      <c r="A397" t="s">
        <v>258</v>
      </c>
      <c r="B397" t="s">
        <v>1765</v>
      </c>
    </row>
    <row r="398" spans="1:2">
      <c r="A398" t="s">
        <v>259</v>
      </c>
      <c r="B398" t="s">
        <v>1764</v>
      </c>
    </row>
    <row r="399" spans="1:2">
      <c r="A399" t="s">
        <v>259</v>
      </c>
      <c r="B399" t="s">
        <v>1765</v>
      </c>
    </row>
    <row r="400" spans="1:2">
      <c r="A400" t="s">
        <v>260</v>
      </c>
      <c r="B400" t="s">
        <v>1764</v>
      </c>
    </row>
    <row r="401" spans="1:2">
      <c r="A401" t="s">
        <v>260</v>
      </c>
      <c r="B401" t="s">
        <v>1765</v>
      </c>
    </row>
    <row r="402" spans="1:2">
      <c r="A402" t="s">
        <v>261</v>
      </c>
      <c r="B402" t="s">
        <v>1764</v>
      </c>
    </row>
    <row r="403" spans="1:2">
      <c r="A403" t="s">
        <v>261</v>
      </c>
      <c r="B403" t="s">
        <v>1765</v>
      </c>
    </row>
    <row r="404" spans="1:2">
      <c r="A404" t="s">
        <v>262</v>
      </c>
      <c r="B404" t="s">
        <v>1769</v>
      </c>
    </row>
    <row r="405" spans="1:2">
      <c r="A405" t="s">
        <v>263</v>
      </c>
      <c r="B405" t="s">
        <v>1769</v>
      </c>
    </row>
    <row r="406" spans="1:2">
      <c r="A406" t="s">
        <v>264</v>
      </c>
      <c r="B406" t="s">
        <v>1769</v>
      </c>
    </row>
    <row r="407" spans="1:2">
      <c r="A407" t="s">
        <v>264</v>
      </c>
      <c r="B407" t="s">
        <v>1766</v>
      </c>
    </row>
    <row r="408" spans="1:2">
      <c r="A408" t="s">
        <v>265</v>
      </c>
      <c r="B408" t="s">
        <v>1769</v>
      </c>
    </row>
    <row r="409" spans="1:2">
      <c r="A409" t="s">
        <v>265</v>
      </c>
      <c r="B409" t="s">
        <v>1766</v>
      </c>
    </row>
    <row r="410" spans="1:2">
      <c r="A410" t="s">
        <v>266</v>
      </c>
      <c r="B410" t="s">
        <v>1769</v>
      </c>
    </row>
    <row r="411" spans="1:2">
      <c r="A411" t="s">
        <v>266</v>
      </c>
      <c r="B411" t="s">
        <v>1766</v>
      </c>
    </row>
    <row r="412" spans="1:2">
      <c r="A412" t="s">
        <v>267</v>
      </c>
      <c r="B412" t="s">
        <v>1769</v>
      </c>
    </row>
    <row r="413" spans="1:2">
      <c r="A413" t="s">
        <v>267</v>
      </c>
      <c r="B413" t="s">
        <v>1766</v>
      </c>
    </row>
    <row r="414" spans="1:2">
      <c r="A414" t="s">
        <v>268</v>
      </c>
      <c r="B414" t="s">
        <v>1769</v>
      </c>
    </row>
    <row r="415" spans="1:2">
      <c r="A415" t="s">
        <v>268</v>
      </c>
      <c r="B415" t="s">
        <v>1766</v>
      </c>
    </row>
    <row r="416" spans="1:2">
      <c r="A416" t="s">
        <v>269</v>
      </c>
      <c r="B416" t="s">
        <v>1764</v>
      </c>
    </row>
    <row r="417" spans="1:2">
      <c r="A417" t="s">
        <v>269</v>
      </c>
      <c r="B417" t="s">
        <v>1765</v>
      </c>
    </row>
    <row r="418" spans="1:2">
      <c r="A418" t="s">
        <v>270</v>
      </c>
      <c r="B418" t="s">
        <v>1764</v>
      </c>
    </row>
    <row r="419" spans="1:2">
      <c r="A419" t="s">
        <v>270</v>
      </c>
      <c r="B419" t="s">
        <v>1766</v>
      </c>
    </row>
    <row r="420" spans="1:2">
      <c r="A420" t="s">
        <v>271</v>
      </c>
      <c r="B420" t="s">
        <v>1764</v>
      </c>
    </row>
    <row r="421" spans="1:2">
      <c r="A421" t="s">
        <v>271</v>
      </c>
      <c r="B421" t="s">
        <v>1766</v>
      </c>
    </row>
    <row r="422" spans="1:2">
      <c r="A422" t="s">
        <v>272</v>
      </c>
      <c r="B422" t="s">
        <v>1764</v>
      </c>
    </row>
    <row r="423" spans="1:2">
      <c r="A423" t="s">
        <v>272</v>
      </c>
      <c r="B423" t="s">
        <v>1766</v>
      </c>
    </row>
    <row r="424" spans="1:2">
      <c r="A424" t="s">
        <v>273</v>
      </c>
      <c r="B424" t="s">
        <v>1764</v>
      </c>
    </row>
    <row r="425" spans="1:2">
      <c r="A425" t="s">
        <v>273</v>
      </c>
      <c r="B425" t="s">
        <v>1783</v>
      </c>
    </row>
    <row r="426" spans="1:2">
      <c r="A426" t="s">
        <v>273</v>
      </c>
      <c r="B426" t="s">
        <v>1765</v>
      </c>
    </row>
    <row r="427" spans="1:2">
      <c r="A427" t="s">
        <v>274</v>
      </c>
      <c r="B427" t="s">
        <v>1764</v>
      </c>
    </row>
    <row r="428" spans="1:2">
      <c r="A428" t="s">
        <v>274</v>
      </c>
      <c r="B428" t="s">
        <v>1783</v>
      </c>
    </row>
    <row r="429" spans="1:2">
      <c r="A429" t="s">
        <v>274</v>
      </c>
      <c r="B429" t="s">
        <v>1765</v>
      </c>
    </row>
    <row r="430" spans="1:2">
      <c r="A430" t="s">
        <v>275</v>
      </c>
      <c r="B430" t="s">
        <v>1764</v>
      </c>
    </row>
    <row r="431" spans="1:2">
      <c r="A431" t="s">
        <v>275</v>
      </c>
      <c r="B431" t="s">
        <v>1783</v>
      </c>
    </row>
    <row r="432" spans="1:2">
      <c r="A432" t="s">
        <v>275</v>
      </c>
      <c r="B432" t="s">
        <v>1765</v>
      </c>
    </row>
    <row r="433" spans="1:2">
      <c r="A433" t="s">
        <v>276</v>
      </c>
      <c r="B433" t="s">
        <v>1764</v>
      </c>
    </row>
    <row r="434" spans="1:2">
      <c r="A434" t="s">
        <v>276</v>
      </c>
      <c r="B434" t="s">
        <v>1783</v>
      </c>
    </row>
    <row r="435" spans="1:2">
      <c r="A435" t="s">
        <v>276</v>
      </c>
      <c r="B435" t="s">
        <v>1765</v>
      </c>
    </row>
    <row r="436" spans="1:2">
      <c r="A436" t="s">
        <v>277</v>
      </c>
      <c r="B436" t="s">
        <v>1764</v>
      </c>
    </row>
    <row r="437" spans="1:2">
      <c r="A437" t="s">
        <v>277</v>
      </c>
      <c r="B437" t="s">
        <v>1783</v>
      </c>
    </row>
    <row r="438" spans="1:2">
      <c r="A438" t="s">
        <v>277</v>
      </c>
      <c r="B438" t="s">
        <v>1765</v>
      </c>
    </row>
    <row r="439" spans="1:2">
      <c r="A439" t="s">
        <v>278</v>
      </c>
      <c r="B439" t="s">
        <v>1783</v>
      </c>
    </row>
    <row r="440" spans="1:2">
      <c r="A440" t="s">
        <v>278</v>
      </c>
      <c r="B440" t="s">
        <v>1765</v>
      </c>
    </row>
    <row r="441" spans="1:2">
      <c r="A441" t="s">
        <v>278</v>
      </c>
      <c r="B441" t="s">
        <v>1785</v>
      </c>
    </row>
    <row r="442" spans="1:2">
      <c r="A442" t="s">
        <v>278</v>
      </c>
      <c r="B442" t="s">
        <v>1787</v>
      </c>
    </row>
    <row r="443" spans="1:2">
      <c r="A443" t="s">
        <v>279</v>
      </c>
      <c r="B443" t="s">
        <v>1765</v>
      </c>
    </row>
    <row r="444" spans="1:2">
      <c r="A444" t="s">
        <v>279</v>
      </c>
      <c r="B444" t="s">
        <v>1787</v>
      </c>
    </row>
    <row r="445" spans="1:2">
      <c r="A445" t="s">
        <v>279</v>
      </c>
      <c r="B445" t="s">
        <v>1783</v>
      </c>
    </row>
    <row r="446" spans="1:2">
      <c r="A446" t="s">
        <v>279</v>
      </c>
      <c r="B446" t="s">
        <v>1785</v>
      </c>
    </row>
    <row r="447" spans="1:2">
      <c r="A447" t="s">
        <v>280</v>
      </c>
      <c r="B447" t="s">
        <v>1764</v>
      </c>
    </row>
    <row r="448" spans="1:2">
      <c r="A448" t="s">
        <v>280</v>
      </c>
      <c r="B448" t="s">
        <v>1765</v>
      </c>
    </row>
    <row r="449" spans="1:2">
      <c r="A449" t="s">
        <v>280</v>
      </c>
      <c r="B449" t="s">
        <v>1783</v>
      </c>
    </row>
    <row r="450" spans="1:2">
      <c r="A450" t="s">
        <v>280</v>
      </c>
      <c r="B450" t="s">
        <v>1785</v>
      </c>
    </row>
    <row r="451" spans="1:2">
      <c r="A451" t="s">
        <v>280</v>
      </c>
      <c r="B451" t="s">
        <v>1787</v>
      </c>
    </row>
    <row r="452" spans="1:2">
      <c r="A452" t="s">
        <v>280</v>
      </c>
      <c r="B452" t="s">
        <v>1781</v>
      </c>
    </row>
    <row r="453" spans="1:2">
      <c r="A453" t="s">
        <v>281</v>
      </c>
      <c r="B453" t="s">
        <v>1764</v>
      </c>
    </row>
    <row r="454" spans="1:2">
      <c r="A454" t="s">
        <v>281</v>
      </c>
      <c r="B454" t="s">
        <v>1765</v>
      </c>
    </row>
    <row r="455" spans="1:2">
      <c r="A455" t="s">
        <v>281</v>
      </c>
      <c r="B455" t="s">
        <v>1783</v>
      </c>
    </row>
    <row r="456" spans="1:2">
      <c r="A456" t="s">
        <v>281</v>
      </c>
      <c r="B456" t="s">
        <v>1787</v>
      </c>
    </row>
    <row r="457" spans="1:2">
      <c r="A457" t="s">
        <v>282</v>
      </c>
      <c r="B457" t="s">
        <v>1764</v>
      </c>
    </row>
    <row r="458" spans="1:2">
      <c r="A458" t="s">
        <v>282</v>
      </c>
      <c r="B458" t="s">
        <v>1766</v>
      </c>
    </row>
    <row r="459" spans="1:2">
      <c r="A459" t="s">
        <v>283</v>
      </c>
      <c r="B459" t="s">
        <v>1764</v>
      </c>
    </row>
    <row r="460" spans="1:2">
      <c r="A460" t="s">
        <v>283</v>
      </c>
      <c r="B460" t="s">
        <v>1766</v>
      </c>
    </row>
    <row r="461" spans="1:2">
      <c r="A461" t="s">
        <v>284</v>
      </c>
      <c r="B461" t="s">
        <v>1764</v>
      </c>
    </row>
    <row r="462" spans="1:2">
      <c r="A462" t="s">
        <v>284</v>
      </c>
      <c r="B462" t="s">
        <v>1766</v>
      </c>
    </row>
    <row r="463" spans="1:2">
      <c r="A463" t="s">
        <v>284</v>
      </c>
      <c r="B463" t="s">
        <v>1765</v>
      </c>
    </row>
    <row r="464" spans="1:2">
      <c r="A464" t="s">
        <v>285</v>
      </c>
      <c r="B464" t="s">
        <v>1764</v>
      </c>
    </row>
    <row r="465" spans="1:2">
      <c r="A465" t="s">
        <v>285</v>
      </c>
      <c r="B465" t="s">
        <v>1766</v>
      </c>
    </row>
    <row r="466" spans="1:2">
      <c r="A466" t="s">
        <v>286</v>
      </c>
      <c r="B466" t="s">
        <v>1765</v>
      </c>
    </row>
    <row r="467" spans="1:2">
      <c r="A467" t="s">
        <v>286</v>
      </c>
      <c r="B467" t="s">
        <v>1766</v>
      </c>
    </row>
    <row r="468" spans="1:2">
      <c r="A468" t="s">
        <v>287</v>
      </c>
      <c r="B468" t="s">
        <v>1764</v>
      </c>
    </row>
    <row r="469" spans="1:2">
      <c r="A469" t="s">
        <v>287</v>
      </c>
      <c r="B469" t="s">
        <v>1766</v>
      </c>
    </row>
    <row r="470" spans="1:2">
      <c r="A470" t="s">
        <v>287</v>
      </c>
      <c r="B470" t="s">
        <v>1765</v>
      </c>
    </row>
    <row r="471" spans="1:2">
      <c r="A471" t="s">
        <v>288</v>
      </c>
      <c r="B471" t="s">
        <v>1781</v>
      </c>
    </row>
    <row r="472" spans="1:2">
      <c r="A472" t="s">
        <v>289</v>
      </c>
      <c r="B472" t="s">
        <v>1781</v>
      </c>
    </row>
    <row r="473" spans="1:2">
      <c r="A473" t="s">
        <v>290</v>
      </c>
      <c r="B473" t="s">
        <v>1781</v>
      </c>
    </row>
    <row r="474" spans="1:2">
      <c r="A474" t="s">
        <v>291</v>
      </c>
      <c r="B474" t="s">
        <v>1769</v>
      </c>
    </row>
    <row r="475" spans="1:2">
      <c r="A475" t="s">
        <v>291</v>
      </c>
      <c r="B475" t="s">
        <v>1766</v>
      </c>
    </row>
    <row r="476" spans="1:2">
      <c r="A476" t="s">
        <v>292</v>
      </c>
      <c r="B476" t="s">
        <v>1765</v>
      </c>
    </row>
    <row r="477" spans="1:2">
      <c r="A477" t="s">
        <v>292</v>
      </c>
      <c r="B477" t="s">
        <v>1834</v>
      </c>
    </row>
    <row r="478" spans="1:2">
      <c r="A478" t="s">
        <v>293</v>
      </c>
      <c r="B478" t="s">
        <v>1765</v>
      </c>
    </row>
    <row r="479" spans="1:2">
      <c r="A479" t="s">
        <v>293</v>
      </c>
      <c r="B479" t="s">
        <v>1769</v>
      </c>
    </row>
    <row r="480" spans="1:2">
      <c r="A480" t="s">
        <v>294</v>
      </c>
      <c r="B480" t="s">
        <v>1765</v>
      </c>
    </row>
    <row r="481" spans="1:2">
      <c r="A481" t="s">
        <v>294</v>
      </c>
      <c r="B481" t="s">
        <v>1769</v>
      </c>
    </row>
    <row r="482" spans="1:2">
      <c r="A482" t="s">
        <v>295</v>
      </c>
      <c r="B482" t="s">
        <v>1765</v>
      </c>
    </row>
    <row r="483" spans="1:2">
      <c r="A483" t="s">
        <v>295</v>
      </c>
      <c r="B483" t="s">
        <v>1769</v>
      </c>
    </row>
    <row r="484" spans="1:2">
      <c r="A484" t="s">
        <v>1261</v>
      </c>
      <c r="B484" t="s">
        <v>1765</v>
      </c>
    </row>
    <row r="485" spans="1:2">
      <c r="A485" t="s">
        <v>1261</v>
      </c>
      <c r="B485" t="s">
        <v>1769</v>
      </c>
    </row>
    <row r="486" spans="1:2">
      <c r="A486" t="s">
        <v>296</v>
      </c>
      <c r="B486" t="s">
        <v>1765</v>
      </c>
    </row>
    <row r="487" spans="1:2">
      <c r="A487" t="s">
        <v>296</v>
      </c>
      <c r="B487" t="s">
        <v>1769</v>
      </c>
    </row>
    <row r="488" spans="1:2">
      <c r="A488" t="s">
        <v>297</v>
      </c>
      <c r="B488" t="s">
        <v>1765</v>
      </c>
    </row>
    <row r="489" spans="1:2">
      <c r="A489" t="s">
        <v>297</v>
      </c>
      <c r="B489" t="s">
        <v>1841</v>
      </c>
    </row>
    <row r="490" spans="1:2">
      <c r="A490" t="s">
        <v>298</v>
      </c>
      <c r="B490" t="s">
        <v>1765</v>
      </c>
    </row>
    <row r="491" spans="1:2">
      <c r="A491" t="s">
        <v>298</v>
      </c>
      <c r="B491" t="s">
        <v>1841</v>
      </c>
    </row>
    <row r="492" spans="1:2">
      <c r="A492" t="s">
        <v>299</v>
      </c>
      <c r="B492" t="s">
        <v>1765</v>
      </c>
    </row>
    <row r="493" spans="1:2">
      <c r="A493" t="s">
        <v>299</v>
      </c>
      <c r="B493" t="s">
        <v>1789</v>
      </c>
    </row>
    <row r="494" spans="1:2">
      <c r="A494" t="s">
        <v>300</v>
      </c>
      <c r="B494" t="s">
        <v>1765</v>
      </c>
    </row>
    <row r="495" spans="1:2">
      <c r="A495" t="s">
        <v>300</v>
      </c>
      <c r="B495" t="s">
        <v>1789</v>
      </c>
    </row>
    <row r="496" spans="1:2">
      <c r="A496" t="s">
        <v>300</v>
      </c>
      <c r="B496" t="s">
        <v>1791</v>
      </c>
    </row>
    <row r="497" spans="1:2">
      <c r="A497" t="s">
        <v>301</v>
      </c>
      <c r="B497" t="s">
        <v>1766</v>
      </c>
    </row>
    <row r="498" spans="1:2">
      <c r="A498" t="s">
        <v>301</v>
      </c>
      <c r="B498" t="s">
        <v>1793</v>
      </c>
    </row>
    <row r="499" spans="1:2">
      <c r="A499" t="s">
        <v>302</v>
      </c>
      <c r="B499" t="s">
        <v>1765</v>
      </c>
    </row>
    <row r="500" spans="1:2">
      <c r="A500" t="s">
        <v>302</v>
      </c>
      <c r="B500" t="s">
        <v>1841</v>
      </c>
    </row>
    <row r="501" spans="1:2">
      <c r="A501" t="s">
        <v>303</v>
      </c>
      <c r="B501" t="s">
        <v>1765</v>
      </c>
    </row>
    <row r="502" spans="1:2">
      <c r="A502" t="s">
        <v>303</v>
      </c>
      <c r="B502" t="s">
        <v>1841</v>
      </c>
    </row>
    <row r="503" spans="1:2">
      <c r="A503" t="s">
        <v>304</v>
      </c>
      <c r="B503" t="s">
        <v>1765</v>
      </c>
    </row>
    <row r="504" spans="1:2">
      <c r="A504" t="s">
        <v>304</v>
      </c>
      <c r="B504" t="s">
        <v>1766</v>
      </c>
    </row>
    <row r="505" spans="1:2">
      <c r="A505" t="s">
        <v>305</v>
      </c>
      <c r="B505" t="s">
        <v>1766</v>
      </c>
    </row>
    <row r="506" spans="1:2">
      <c r="A506" t="s">
        <v>306</v>
      </c>
      <c r="B506" t="s">
        <v>1765</v>
      </c>
    </row>
    <row r="507" spans="1:2">
      <c r="A507" t="s">
        <v>307</v>
      </c>
      <c r="B507" t="s">
        <v>1765</v>
      </c>
    </row>
    <row r="508" spans="1:2">
      <c r="A508" t="s">
        <v>307</v>
      </c>
      <c r="B508" t="s">
        <v>1789</v>
      </c>
    </row>
    <row r="509" spans="1:2">
      <c r="A509" t="s">
        <v>308</v>
      </c>
      <c r="B509" t="s">
        <v>1765</v>
      </c>
    </row>
    <row r="510" spans="1:2">
      <c r="A510" t="s">
        <v>308</v>
      </c>
      <c r="B510" t="s">
        <v>1789</v>
      </c>
    </row>
    <row r="511" spans="1:2">
      <c r="A511" t="s">
        <v>309</v>
      </c>
      <c r="B511" t="s">
        <v>1765</v>
      </c>
    </row>
    <row r="512" spans="1:2">
      <c r="A512" t="s">
        <v>309</v>
      </c>
      <c r="B512" t="s">
        <v>1789</v>
      </c>
    </row>
    <row r="513" spans="1:2">
      <c r="A513" t="s">
        <v>310</v>
      </c>
      <c r="B513" t="s">
        <v>1765</v>
      </c>
    </row>
    <row r="514" spans="1:2">
      <c r="A514" t="s">
        <v>310</v>
      </c>
      <c r="B514" t="s">
        <v>1789</v>
      </c>
    </row>
    <row r="515" spans="1:2">
      <c r="A515" t="s">
        <v>311</v>
      </c>
      <c r="B515" t="s">
        <v>1765</v>
      </c>
    </row>
    <row r="516" spans="1:2">
      <c r="A516" t="s">
        <v>311</v>
      </c>
      <c r="B516" t="s">
        <v>1789</v>
      </c>
    </row>
    <row r="517" spans="1:2">
      <c r="A517" t="s">
        <v>312</v>
      </c>
      <c r="B517" t="s">
        <v>1765</v>
      </c>
    </row>
    <row r="518" spans="1:2">
      <c r="A518" t="s">
        <v>312</v>
      </c>
      <c r="B518" t="s">
        <v>1789</v>
      </c>
    </row>
    <row r="519" spans="1:2">
      <c r="A519" t="s">
        <v>313</v>
      </c>
      <c r="B519" t="s">
        <v>1765</v>
      </c>
    </row>
    <row r="520" spans="1:2">
      <c r="A520" t="s">
        <v>313</v>
      </c>
      <c r="B520" t="s">
        <v>1769</v>
      </c>
    </row>
    <row r="521" spans="1:2">
      <c r="A521" t="s">
        <v>314</v>
      </c>
      <c r="B521" t="s">
        <v>1765</v>
      </c>
    </row>
    <row r="522" spans="1:2">
      <c r="A522" t="s">
        <v>314</v>
      </c>
      <c r="B522" t="s">
        <v>1789</v>
      </c>
    </row>
    <row r="523" spans="1:2">
      <c r="A523" t="s">
        <v>315</v>
      </c>
      <c r="B523" t="s">
        <v>1765</v>
      </c>
    </row>
    <row r="524" spans="1:2">
      <c r="A524" t="s">
        <v>315</v>
      </c>
      <c r="B524" t="s">
        <v>1789</v>
      </c>
    </row>
    <row r="525" spans="1:2">
      <c r="A525" t="s">
        <v>316</v>
      </c>
      <c r="B525" t="s">
        <v>1765</v>
      </c>
    </row>
    <row r="526" spans="1:2">
      <c r="A526" t="s">
        <v>316</v>
      </c>
      <c r="B526" t="s">
        <v>1789</v>
      </c>
    </row>
    <row r="527" spans="1:2">
      <c r="A527" t="s">
        <v>317</v>
      </c>
      <c r="B527" t="s">
        <v>1765</v>
      </c>
    </row>
    <row r="528" spans="1:2">
      <c r="A528" t="s">
        <v>317</v>
      </c>
      <c r="B528" t="s">
        <v>1769</v>
      </c>
    </row>
    <row r="529" spans="1:2">
      <c r="A529" t="s">
        <v>318</v>
      </c>
      <c r="B529" t="s">
        <v>1764</v>
      </c>
    </row>
    <row r="530" spans="1:2">
      <c r="A530" t="s">
        <v>318</v>
      </c>
      <c r="B530" t="s">
        <v>1766</v>
      </c>
    </row>
    <row r="531" spans="1:2">
      <c r="A531" t="s">
        <v>319</v>
      </c>
      <c r="B531" t="s">
        <v>1764</v>
      </c>
    </row>
    <row r="532" spans="1:2">
      <c r="A532" t="s">
        <v>319</v>
      </c>
      <c r="B532" t="s">
        <v>1766</v>
      </c>
    </row>
    <row r="533" spans="1:2">
      <c r="A533" t="s">
        <v>320</v>
      </c>
      <c r="B533" t="s">
        <v>1764</v>
      </c>
    </row>
    <row r="534" spans="1:2">
      <c r="A534" t="s">
        <v>320</v>
      </c>
      <c r="B534" t="s">
        <v>1766</v>
      </c>
    </row>
    <row r="535" spans="1:2">
      <c r="A535" t="s">
        <v>321</v>
      </c>
      <c r="B535" t="s">
        <v>1764</v>
      </c>
    </row>
    <row r="536" spans="1:2">
      <c r="A536" t="s">
        <v>321</v>
      </c>
      <c r="B536" t="s">
        <v>1765</v>
      </c>
    </row>
    <row r="537" spans="1:2">
      <c r="A537" t="s">
        <v>321</v>
      </c>
      <c r="B537" t="s">
        <v>1766</v>
      </c>
    </row>
    <row r="538" spans="1:2">
      <c r="A538" t="s">
        <v>322</v>
      </c>
      <c r="B538" t="s">
        <v>1764</v>
      </c>
    </row>
    <row r="539" spans="1:2">
      <c r="A539" t="s">
        <v>322</v>
      </c>
      <c r="B539" t="s">
        <v>1765</v>
      </c>
    </row>
    <row r="540" spans="1:2">
      <c r="A540" t="s">
        <v>322</v>
      </c>
      <c r="B540" t="s">
        <v>1766</v>
      </c>
    </row>
    <row r="541" spans="1:2">
      <c r="A541" t="s">
        <v>323</v>
      </c>
      <c r="B541" t="s">
        <v>1764</v>
      </c>
    </row>
    <row r="542" spans="1:2">
      <c r="A542" t="s">
        <v>323</v>
      </c>
      <c r="B542" t="s">
        <v>1765</v>
      </c>
    </row>
    <row r="543" spans="1:2">
      <c r="A543" t="s">
        <v>324</v>
      </c>
      <c r="B543" t="s">
        <v>1764</v>
      </c>
    </row>
    <row r="544" spans="1:2">
      <c r="A544" t="s">
        <v>324</v>
      </c>
      <c r="B544" t="s">
        <v>1765</v>
      </c>
    </row>
    <row r="545" spans="1:2">
      <c r="A545" t="s">
        <v>324</v>
      </c>
      <c r="B545" t="s">
        <v>1766</v>
      </c>
    </row>
    <row r="546" spans="1:2">
      <c r="A546" t="s">
        <v>324</v>
      </c>
      <c r="B546" t="s">
        <v>1795</v>
      </c>
    </row>
    <row r="547" spans="1:2">
      <c r="A547" t="s">
        <v>325</v>
      </c>
      <c r="B547" t="s">
        <v>1764</v>
      </c>
    </row>
    <row r="548" spans="1:2">
      <c r="A548" t="s">
        <v>325</v>
      </c>
      <c r="B548" t="s">
        <v>1765</v>
      </c>
    </row>
    <row r="549" spans="1:2">
      <c r="A549" t="s">
        <v>325</v>
      </c>
      <c r="B549" t="s">
        <v>1766</v>
      </c>
    </row>
    <row r="550" spans="1:2">
      <c r="A550" t="s">
        <v>325</v>
      </c>
      <c r="B550" t="s">
        <v>1795</v>
      </c>
    </row>
    <row r="551" spans="1:2">
      <c r="A551" t="s">
        <v>326</v>
      </c>
      <c r="B551" t="s">
        <v>1764</v>
      </c>
    </row>
    <row r="552" spans="1:2">
      <c r="A552" t="s">
        <v>326</v>
      </c>
      <c r="B552" t="s">
        <v>1765</v>
      </c>
    </row>
    <row r="553" spans="1:2">
      <c r="A553" t="s">
        <v>326</v>
      </c>
      <c r="B553" t="s">
        <v>1766</v>
      </c>
    </row>
    <row r="554" spans="1:2">
      <c r="A554" t="s">
        <v>326</v>
      </c>
      <c r="B554" t="s">
        <v>1795</v>
      </c>
    </row>
    <row r="555" spans="1:2">
      <c r="A555" t="s">
        <v>327</v>
      </c>
      <c r="B555" t="s">
        <v>1764</v>
      </c>
    </row>
    <row r="556" spans="1:2">
      <c r="A556" t="s">
        <v>327</v>
      </c>
      <c r="B556" t="s">
        <v>1765</v>
      </c>
    </row>
    <row r="557" spans="1:2">
      <c r="A557" t="s">
        <v>327</v>
      </c>
      <c r="B557" t="s">
        <v>1795</v>
      </c>
    </row>
    <row r="558" spans="1:2">
      <c r="A558" t="s">
        <v>328</v>
      </c>
      <c r="B558" t="s">
        <v>1764</v>
      </c>
    </row>
    <row r="559" spans="1:2">
      <c r="A559" t="s">
        <v>328</v>
      </c>
      <c r="B559" t="s">
        <v>1765</v>
      </c>
    </row>
    <row r="560" spans="1:2">
      <c r="A560" t="s">
        <v>329</v>
      </c>
      <c r="B560" t="s">
        <v>1764</v>
      </c>
    </row>
    <row r="561" spans="1:2">
      <c r="A561" t="s">
        <v>329</v>
      </c>
      <c r="B561" t="s">
        <v>1861</v>
      </c>
    </row>
    <row r="562" spans="1:2">
      <c r="A562" t="s">
        <v>329</v>
      </c>
      <c r="B562" t="s">
        <v>1862</v>
      </c>
    </row>
    <row r="563" spans="1:2">
      <c r="A563" t="s">
        <v>330</v>
      </c>
      <c r="B563" t="s">
        <v>1764</v>
      </c>
    </row>
    <row r="564" spans="1:2">
      <c r="A564" t="s">
        <v>330</v>
      </c>
      <c r="B564" t="s">
        <v>1765</v>
      </c>
    </row>
    <row r="565" spans="1:2">
      <c r="A565" t="s">
        <v>330</v>
      </c>
      <c r="B565" t="s">
        <v>1861</v>
      </c>
    </row>
    <row r="566" spans="1:2">
      <c r="A566" t="s">
        <v>331</v>
      </c>
      <c r="B566" t="s">
        <v>1764</v>
      </c>
    </row>
    <row r="567" spans="1:2">
      <c r="A567" t="s">
        <v>331</v>
      </c>
      <c r="B567" t="s">
        <v>1765</v>
      </c>
    </row>
    <row r="568" spans="1:2">
      <c r="A568" t="s">
        <v>331</v>
      </c>
      <c r="B568" t="s">
        <v>1766</v>
      </c>
    </row>
    <row r="569" spans="1:2">
      <c r="A569" t="s">
        <v>331</v>
      </c>
      <c r="B569" t="s">
        <v>1861</v>
      </c>
    </row>
    <row r="570" spans="1:2">
      <c r="A570" t="s">
        <v>331</v>
      </c>
      <c r="B570" t="s">
        <v>1862</v>
      </c>
    </row>
    <row r="571" spans="1:2">
      <c r="A571" t="s">
        <v>332</v>
      </c>
      <c r="B571" t="s">
        <v>1764</v>
      </c>
    </row>
    <row r="572" spans="1:2">
      <c r="A572" t="s">
        <v>332</v>
      </c>
      <c r="B572" t="s">
        <v>1765</v>
      </c>
    </row>
    <row r="573" spans="1:2">
      <c r="A573" t="s">
        <v>332</v>
      </c>
      <c r="B573" t="s">
        <v>1766</v>
      </c>
    </row>
    <row r="574" spans="1:2">
      <c r="A574" t="s">
        <v>332</v>
      </c>
      <c r="B574" t="s">
        <v>1861</v>
      </c>
    </row>
    <row r="575" spans="1:2">
      <c r="A575" t="s">
        <v>332</v>
      </c>
      <c r="B575" t="s">
        <v>1862</v>
      </c>
    </row>
    <row r="576" spans="1:2">
      <c r="A576" t="s">
        <v>333</v>
      </c>
      <c r="B576" t="s">
        <v>1764</v>
      </c>
    </row>
    <row r="577" spans="1:2">
      <c r="A577" t="s">
        <v>333</v>
      </c>
      <c r="B577" t="s">
        <v>1765</v>
      </c>
    </row>
    <row r="578" spans="1:2">
      <c r="A578" t="s">
        <v>333</v>
      </c>
      <c r="B578" t="s">
        <v>1766</v>
      </c>
    </row>
    <row r="579" spans="1:2">
      <c r="A579" t="s">
        <v>333</v>
      </c>
      <c r="B579" t="s">
        <v>1861</v>
      </c>
    </row>
    <row r="580" spans="1:2">
      <c r="A580" t="s">
        <v>333</v>
      </c>
      <c r="B580" t="s">
        <v>1862</v>
      </c>
    </row>
    <row r="581" spans="1:2">
      <c r="A581" t="s">
        <v>334</v>
      </c>
      <c r="B581" t="s">
        <v>1764</v>
      </c>
    </row>
    <row r="582" spans="1:2">
      <c r="A582" t="s">
        <v>334</v>
      </c>
      <c r="B582" t="s">
        <v>1765</v>
      </c>
    </row>
    <row r="583" spans="1:2">
      <c r="A583" t="s">
        <v>334</v>
      </c>
      <c r="B583" t="s">
        <v>1843</v>
      </c>
    </row>
    <row r="584" spans="1:2">
      <c r="A584" t="s">
        <v>335</v>
      </c>
      <c r="B584" t="s">
        <v>1764</v>
      </c>
    </row>
    <row r="585" spans="1:2">
      <c r="A585" t="s">
        <v>335</v>
      </c>
      <c r="B585" t="s">
        <v>1765</v>
      </c>
    </row>
    <row r="586" spans="1:2">
      <c r="A586" t="s">
        <v>335</v>
      </c>
      <c r="B586" t="s">
        <v>1843</v>
      </c>
    </row>
    <row r="587" spans="1:2">
      <c r="A587" t="s">
        <v>335</v>
      </c>
      <c r="B587" t="s">
        <v>1766</v>
      </c>
    </row>
    <row r="588" spans="1:2">
      <c r="A588" t="s">
        <v>336</v>
      </c>
      <c r="B588" t="s">
        <v>1764</v>
      </c>
    </row>
    <row r="589" spans="1:2">
      <c r="A589" t="s">
        <v>336</v>
      </c>
      <c r="B589" t="s">
        <v>1765</v>
      </c>
    </row>
    <row r="590" spans="1:2">
      <c r="A590" t="s">
        <v>336</v>
      </c>
      <c r="B590" t="s">
        <v>1843</v>
      </c>
    </row>
    <row r="591" spans="1:2">
      <c r="A591" t="s">
        <v>337</v>
      </c>
      <c r="B591" t="s">
        <v>1764</v>
      </c>
    </row>
    <row r="592" spans="1:2">
      <c r="A592" t="s">
        <v>337</v>
      </c>
      <c r="B592" t="s">
        <v>1765</v>
      </c>
    </row>
    <row r="593" spans="1:2">
      <c r="A593" t="s">
        <v>337</v>
      </c>
      <c r="B593" t="s">
        <v>1843</v>
      </c>
    </row>
    <row r="594" spans="1:2">
      <c r="A594" t="s">
        <v>338</v>
      </c>
      <c r="B594" t="s">
        <v>1765</v>
      </c>
    </row>
    <row r="595" spans="1:2">
      <c r="A595" t="s">
        <v>338</v>
      </c>
      <c r="B595" t="s">
        <v>1864</v>
      </c>
    </row>
    <row r="596" spans="1:2">
      <c r="A596" t="s">
        <v>339</v>
      </c>
      <c r="B596" t="s">
        <v>1764</v>
      </c>
    </row>
    <row r="597" spans="1:2">
      <c r="A597" t="s">
        <v>339</v>
      </c>
      <c r="B597" t="s">
        <v>1765</v>
      </c>
    </row>
    <row r="598" spans="1:2">
      <c r="A598" t="s">
        <v>339</v>
      </c>
      <c r="B598" t="s">
        <v>1864</v>
      </c>
    </row>
    <row r="599" spans="1:2">
      <c r="A599" t="s">
        <v>340</v>
      </c>
      <c r="B599" t="s">
        <v>1765</v>
      </c>
    </row>
    <row r="600" spans="1:2">
      <c r="A600" t="s">
        <v>340</v>
      </c>
      <c r="B600" t="s">
        <v>1773</v>
      </c>
    </row>
    <row r="601" spans="1:2">
      <c r="A601" t="s">
        <v>341</v>
      </c>
      <c r="B601" t="s">
        <v>1765</v>
      </c>
    </row>
    <row r="602" spans="1:2">
      <c r="A602" t="s">
        <v>341</v>
      </c>
      <c r="B602" t="s">
        <v>1845</v>
      </c>
    </row>
    <row r="603" spans="1:2">
      <c r="A603" t="s">
        <v>342</v>
      </c>
      <c r="B603" t="s">
        <v>1765</v>
      </c>
    </row>
    <row r="604" spans="1:2">
      <c r="A604" t="s">
        <v>342</v>
      </c>
      <c r="B604" t="s">
        <v>1773</v>
      </c>
    </row>
    <row r="605" spans="1:2">
      <c r="A605" t="s">
        <v>343</v>
      </c>
      <c r="B605" t="s">
        <v>1765</v>
      </c>
    </row>
    <row r="606" spans="1:2">
      <c r="A606" t="s">
        <v>343</v>
      </c>
      <c r="B606" t="s">
        <v>1789</v>
      </c>
    </row>
    <row r="607" spans="1:2">
      <c r="A607" t="s">
        <v>343</v>
      </c>
      <c r="B607" t="s">
        <v>1753</v>
      </c>
    </row>
    <row r="608" spans="1:2">
      <c r="A608" t="s">
        <v>344</v>
      </c>
      <c r="B608" t="s">
        <v>1765</v>
      </c>
    </row>
    <row r="609" spans="1:2">
      <c r="A609" t="s">
        <v>344</v>
      </c>
      <c r="B609" t="s">
        <v>1789</v>
      </c>
    </row>
    <row r="610" spans="1:2">
      <c r="A610" t="s">
        <v>345</v>
      </c>
      <c r="B610" t="s">
        <v>1765</v>
      </c>
    </row>
    <row r="611" spans="1:2">
      <c r="A611" t="s">
        <v>345</v>
      </c>
      <c r="B611" t="s">
        <v>1756</v>
      </c>
    </row>
    <row r="612" spans="1:2">
      <c r="A612" t="s">
        <v>345</v>
      </c>
      <c r="B612" t="s">
        <v>1753</v>
      </c>
    </row>
    <row r="613" spans="1:2">
      <c r="A613" t="s">
        <v>346</v>
      </c>
      <c r="B613" t="s">
        <v>1765</v>
      </c>
    </row>
    <row r="614" spans="1:2">
      <c r="A614" t="s">
        <v>346</v>
      </c>
      <c r="B614" t="s">
        <v>1756</v>
      </c>
    </row>
    <row r="615" spans="1:2">
      <c r="A615" t="s">
        <v>346</v>
      </c>
      <c r="B615" t="s">
        <v>1753</v>
      </c>
    </row>
    <row r="616" spans="1:2">
      <c r="A616" t="s">
        <v>347</v>
      </c>
      <c r="B616" t="s">
        <v>1765</v>
      </c>
    </row>
    <row r="617" spans="1:2">
      <c r="A617" t="s">
        <v>347</v>
      </c>
      <c r="B617" t="s">
        <v>1756</v>
      </c>
    </row>
    <row r="618" spans="1:2">
      <c r="A618" t="s">
        <v>347</v>
      </c>
      <c r="B618" t="s">
        <v>1753</v>
      </c>
    </row>
    <row r="619" spans="1:2">
      <c r="A619" t="s">
        <v>348</v>
      </c>
      <c r="B619" t="s">
        <v>1765</v>
      </c>
    </row>
    <row r="620" spans="1:2">
      <c r="A620" t="s">
        <v>348</v>
      </c>
      <c r="B620" t="s">
        <v>1756</v>
      </c>
    </row>
    <row r="621" spans="1:2">
      <c r="A621" t="s">
        <v>348</v>
      </c>
      <c r="B621" t="s">
        <v>1753</v>
      </c>
    </row>
    <row r="622" spans="1:2">
      <c r="A622" t="s">
        <v>349</v>
      </c>
      <c r="B622" t="s">
        <v>1765</v>
      </c>
    </row>
    <row r="623" spans="1:2">
      <c r="A623" t="s">
        <v>349</v>
      </c>
      <c r="B623" t="s">
        <v>1756</v>
      </c>
    </row>
    <row r="624" spans="1:2">
      <c r="A624" t="s">
        <v>349</v>
      </c>
      <c r="B624" t="s">
        <v>1753</v>
      </c>
    </row>
    <row r="625" spans="1:2">
      <c r="A625" t="s">
        <v>350</v>
      </c>
      <c r="B625" t="s">
        <v>1765</v>
      </c>
    </row>
    <row r="626" spans="1:2">
      <c r="A626" t="s">
        <v>350</v>
      </c>
      <c r="B626" t="s">
        <v>1758</v>
      </c>
    </row>
    <row r="627" spans="1:2">
      <c r="A627" t="s">
        <v>351</v>
      </c>
      <c r="B627" t="s">
        <v>1765</v>
      </c>
    </row>
    <row r="628" spans="1:2">
      <c r="A628" t="s">
        <v>351</v>
      </c>
      <c r="B628" t="s">
        <v>1753</v>
      </c>
    </row>
    <row r="629" spans="1:2">
      <c r="A629" t="s">
        <v>352</v>
      </c>
      <c r="B629" t="s">
        <v>1765</v>
      </c>
    </row>
    <row r="630" spans="1:2">
      <c r="A630" t="s">
        <v>352</v>
      </c>
      <c r="B630" t="s">
        <v>1773</v>
      </c>
    </row>
    <row r="631" spans="1:2">
      <c r="A631" t="s">
        <v>353</v>
      </c>
      <c r="B631" t="s">
        <v>1765</v>
      </c>
    </row>
    <row r="632" spans="1:2">
      <c r="A632" t="s">
        <v>353</v>
      </c>
      <c r="B632" t="s">
        <v>1773</v>
      </c>
    </row>
    <row r="633" spans="1:2">
      <c r="A633" t="s">
        <v>354</v>
      </c>
      <c r="B633" t="s">
        <v>1765</v>
      </c>
    </row>
    <row r="634" spans="1:2">
      <c r="A634" t="s">
        <v>354</v>
      </c>
      <c r="B634" t="s">
        <v>1760</v>
      </c>
    </row>
    <row r="635" spans="1:2">
      <c r="A635" t="s">
        <v>355</v>
      </c>
      <c r="B635" t="s">
        <v>1765</v>
      </c>
    </row>
    <row r="636" spans="1:2">
      <c r="A636" t="s">
        <v>355</v>
      </c>
      <c r="B636" t="s">
        <v>1760</v>
      </c>
    </row>
    <row r="637" spans="1:2">
      <c r="A637" t="s">
        <v>356</v>
      </c>
      <c r="B637" t="s">
        <v>1765</v>
      </c>
    </row>
    <row r="638" spans="1:2">
      <c r="A638" t="s">
        <v>356</v>
      </c>
      <c r="B638" t="s">
        <v>1760</v>
      </c>
    </row>
    <row r="639" spans="1:2">
      <c r="A639" t="s">
        <v>357</v>
      </c>
      <c r="B639" t="s">
        <v>1765</v>
      </c>
    </row>
    <row r="640" spans="1:2">
      <c r="A640" t="s">
        <v>357</v>
      </c>
      <c r="B640" t="s">
        <v>1760</v>
      </c>
    </row>
    <row r="641" spans="1:2">
      <c r="A641" t="s">
        <v>358</v>
      </c>
      <c r="B641" t="s">
        <v>1765</v>
      </c>
    </row>
    <row r="642" spans="1:2">
      <c r="A642" t="s">
        <v>358</v>
      </c>
      <c r="B642" t="s">
        <v>1760</v>
      </c>
    </row>
    <row r="643" spans="1:2">
      <c r="A643" t="s">
        <v>359</v>
      </c>
      <c r="B643" t="s">
        <v>1765</v>
      </c>
    </row>
    <row r="644" spans="1:2">
      <c r="A644" t="s">
        <v>359</v>
      </c>
      <c r="B644" t="s">
        <v>1758</v>
      </c>
    </row>
    <row r="645" spans="1:2">
      <c r="A645" t="s">
        <v>360</v>
      </c>
      <c r="B645" t="s">
        <v>1765</v>
      </c>
    </row>
    <row r="646" spans="1:2">
      <c r="A646" t="s">
        <v>360</v>
      </c>
      <c r="B646" t="s">
        <v>1758</v>
      </c>
    </row>
    <row r="647" spans="1:2">
      <c r="A647" t="s">
        <v>361</v>
      </c>
      <c r="B647" t="s">
        <v>1765</v>
      </c>
    </row>
    <row r="648" spans="1:2">
      <c r="A648" t="s">
        <v>361</v>
      </c>
      <c r="B648" t="s">
        <v>1758</v>
      </c>
    </row>
    <row r="649" spans="1:2">
      <c r="A649" t="s">
        <v>362</v>
      </c>
      <c r="B649" t="s">
        <v>1765</v>
      </c>
    </row>
    <row r="650" spans="1:2">
      <c r="A650" t="s">
        <v>362</v>
      </c>
      <c r="B650" t="s">
        <v>1758</v>
      </c>
    </row>
    <row r="651" spans="1:2">
      <c r="A651" t="s">
        <v>363</v>
      </c>
      <c r="B651" t="s">
        <v>1765</v>
      </c>
    </row>
    <row r="652" spans="1:2">
      <c r="A652" t="s">
        <v>363</v>
      </c>
      <c r="B652" t="s">
        <v>1753</v>
      </c>
    </row>
    <row r="653" spans="1:2">
      <c r="A653" t="s">
        <v>364</v>
      </c>
      <c r="B653" t="s">
        <v>1765</v>
      </c>
    </row>
    <row r="654" spans="1:2">
      <c r="A654" t="s">
        <v>364</v>
      </c>
      <c r="B654" t="s">
        <v>1753</v>
      </c>
    </row>
    <row r="655" spans="1:2">
      <c r="A655" t="s">
        <v>365</v>
      </c>
      <c r="B655" t="s">
        <v>1765</v>
      </c>
    </row>
    <row r="656" spans="1:2">
      <c r="A656" t="s">
        <v>365</v>
      </c>
      <c r="B656" t="s">
        <v>1766</v>
      </c>
    </row>
    <row r="657" spans="1:2">
      <c r="A657" t="s">
        <v>365</v>
      </c>
      <c r="B657" t="s">
        <v>1769</v>
      </c>
    </row>
    <row r="658" spans="1:2">
      <c r="A658" t="s">
        <v>366</v>
      </c>
      <c r="B658" t="s">
        <v>1765</v>
      </c>
    </row>
    <row r="659" spans="1:2">
      <c r="A659" t="s">
        <v>366</v>
      </c>
      <c r="B659" t="s">
        <v>1876</v>
      </c>
    </row>
    <row r="660" spans="1:2">
      <c r="A660" t="s">
        <v>367</v>
      </c>
      <c r="B660" t="s">
        <v>1765</v>
      </c>
    </row>
    <row r="661" spans="1:2">
      <c r="A661" t="s">
        <v>367</v>
      </c>
      <c r="B661" t="s">
        <v>1876</v>
      </c>
    </row>
    <row r="662" spans="1:2">
      <c r="A662" t="s">
        <v>368</v>
      </c>
      <c r="B662" t="s">
        <v>1765</v>
      </c>
    </row>
    <row r="663" spans="1:2">
      <c r="A663" t="s">
        <v>368</v>
      </c>
      <c r="B663" t="s">
        <v>1876</v>
      </c>
    </row>
    <row r="664" spans="1:2">
      <c r="A664" t="s">
        <v>369</v>
      </c>
      <c r="B664" t="s">
        <v>1765</v>
      </c>
    </row>
    <row r="665" spans="1:2">
      <c r="A665" t="s">
        <v>369</v>
      </c>
      <c r="B665" t="s">
        <v>1876</v>
      </c>
    </row>
    <row r="666" spans="1:2">
      <c r="A666" t="s">
        <v>370</v>
      </c>
      <c r="B666" t="s">
        <v>1765</v>
      </c>
    </row>
    <row r="667" spans="1:2">
      <c r="A667" t="s">
        <v>370</v>
      </c>
      <c r="B667" t="s">
        <v>1876</v>
      </c>
    </row>
    <row r="668" spans="1:2">
      <c r="A668" t="s">
        <v>371</v>
      </c>
      <c r="B668" t="s">
        <v>1876</v>
      </c>
    </row>
    <row r="669" spans="1:2">
      <c r="A669" t="s">
        <v>372</v>
      </c>
      <c r="B669" t="s">
        <v>1876</v>
      </c>
    </row>
    <row r="670" spans="1:2">
      <c r="A670" t="s">
        <v>373</v>
      </c>
      <c r="B670" t="s">
        <v>1766</v>
      </c>
    </row>
    <row r="671" spans="1:2">
      <c r="A671" t="s">
        <v>374</v>
      </c>
      <c r="B671" t="s">
        <v>1766</v>
      </c>
    </row>
    <row r="672" spans="1:2">
      <c r="A672" t="s">
        <v>375</v>
      </c>
      <c r="B672" t="s">
        <v>1831</v>
      </c>
    </row>
    <row r="673" spans="1:2">
      <c r="A673" t="s">
        <v>376</v>
      </c>
      <c r="B673" t="s">
        <v>1831</v>
      </c>
    </row>
    <row r="674" spans="1:2">
      <c r="A674" t="s">
        <v>377</v>
      </c>
      <c r="B674" t="s">
        <v>1831</v>
      </c>
    </row>
    <row r="675" spans="1:2">
      <c r="A675" t="s">
        <v>378</v>
      </c>
      <c r="B675" t="s">
        <v>1831</v>
      </c>
    </row>
    <row r="676" spans="1:2">
      <c r="A676" t="s">
        <v>379</v>
      </c>
      <c r="B676" t="s">
        <v>1831</v>
      </c>
    </row>
    <row r="677" spans="1:2">
      <c r="A677" t="s">
        <v>380</v>
      </c>
      <c r="B677" t="s">
        <v>1825</v>
      </c>
    </row>
    <row r="678" spans="1:2">
      <c r="A678" t="s">
        <v>381</v>
      </c>
      <c r="B678" t="s">
        <v>1825</v>
      </c>
    </row>
    <row r="679" spans="1:2">
      <c r="A679" t="s">
        <v>382</v>
      </c>
      <c r="B679" t="s">
        <v>1825</v>
      </c>
    </row>
    <row r="680" spans="1:2">
      <c r="A680" t="s">
        <v>383</v>
      </c>
      <c r="B680" t="s">
        <v>1825</v>
      </c>
    </row>
    <row r="681" spans="1:2">
      <c r="A681" t="s">
        <v>384</v>
      </c>
      <c r="B681" t="s">
        <v>1825</v>
      </c>
    </row>
    <row r="682" spans="1:2">
      <c r="A682" t="s">
        <v>385</v>
      </c>
      <c r="B682" t="s">
        <v>1825</v>
      </c>
    </row>
    <row r="683" spans="1:2">
      <c r="A683" t="s">
        <v>386</v>
      </c>
      <c r="B683" t="s">
        <v>1825</v>
      </c>
    </row>
    <row r="684" spans="1:2">
      <c r="A684" t="s">
        <v>387</v>
      </c>
      <c r="B684" t="s">
        <v>1825</v>
      </c>
    </row>
    <row r="685" spans="1:2">
      <c r="A685" t="s">
        <v>388</v>
      </c>
      <c r="B685" t="s">
        <v>1876</v>
      </c>
    </row>
    <row r="686" spans="1:2">
      <c r="A686" t="s">
        <v>389</v>
      </c>
      <c r="B686" t="s">
        <v>1876</v>
      </c>
    </row>
    <row r="687" spans="1:2">
      <c r="A687" t="s">
        <v>390</v>
      </c>
      <c r="B687" t="s">
        <v>1876</v>
      </c>
    </row>
    <row r="688" spans="1:2">
      <c r="A688" t="s">
        <v>391</v>
      </c>
      <c r="B688" t="s">
        <v>1876</v>
      </c>
    </row>
    <row r="689" spans="1:2">
      <c r="A689" t="s">
        <v>391</v>
      </c>
      <c r="B689" t="s">
        <v>1878</v>
      </c>
    </row>
    <row r="690" spans="1:2">
      <c r="A690" t="s">
        <v>392</v>
      </c>
      <c r="B690" t="s">
        <v>1876</v>
      </c>
    </row>
    <row r="691" spans="1:2">
      <c r="A691" t="s">
        <v>392</v>
      </c>
      <c r="B691" t="s">
        <v>1878</v>
      </c>
    </row>
    <row r="692" spans="1:2">
      <c r="A692" t="s">
        <v>393</v>
      </c>
      <c r="B692" t="s">
        <v>1878</v>
      </c>
    </row>
    <row r="693" spans="1:2">
      <c r="A693" t="s">
        <v>394</v>
      </c>
      <c r="B693" t="s">
        <v>1876</v>
      </c>
    </row>
    <row r="694" spans="1:2">
      <c r="A694" t="s">
        <v>395</v>
      </c>
      <c r="B694" t="s">
        <v>1878</v>
      </c>
    </row>
    <row r="695" spans="1:2">
      <c r="A695" t="s">
        <v>396</v>
      </c>
      <c r="B695" t="s">
        <v>1878</v>
      </c>
    </row>
    <row r="696" spans="1:2">
      <c r="A696" t="s">
        <v>397</v>
      </c>
      <c r="B696" t="s">
        <v>1878</v>
      </c>
    </row>
    <row r="697" spans="1:2">
      <c r="A697" t="s">
        <v>398</v>
      </c>
      <c r="B697" t="s">
        <v>1878</v>
      </c>
    </row>
    <row r="698" spans="1:2">
      <c r="A698" t="s">
        <v>399</v>
      </c>
      <c r="B698" t="s">
        <v>1876</v>
      </c>
    </row>
    <row r="699" spans="1:2">
      <c r="A699" t="s">
        <v>400</v>
      </c>
      <c r="B699" t="s">
        <v>1878</v>
      </c>
    </row>
    <row r="700" spans="1:2">
      <c r="A700" t="s">
        <v>401</v>
      </c>
      <c r="B700" t="s">
        <v>1878</v>
      </c>
    </row>
    <row r="701" spans="1:2">
      <c r="A701" t="s">
        <v>402</v>
      </c>
      <c r="B701" t="s">
        <v>1765</v>
      </c>
    </row>
    <row r="702" spans="1:2">
      <c r="A702" t="s">
        <v>403</v>
      </c>
      <c r="B702" t="s">
        <v>1765</v>
      </c>
    </row>
    <row r="703" spans="1:2">
      <c r="A703" t="s">
        <v>404</v>
      </c>
      <c r="B703" t="s">
        <v>1765</v>
      </c>
    </row>
    <row r="704" spans="1:2">
      <c r="A704" t="s">
        <v>404</v>
      </c>
      <c r="B704" t="s">
        <v>1773</v>
      </c>
    </row>
    <row r="705" spans="1:2">
      <c r="A705" t="s">
        <v>405</v>
      </c>
      <c r="B705" t="s">
        <v>1765</v>
      </c>
    </row>
    <row r="706" spans="1:2">
      <c r="A706" t="s">
        <v>405</v>
      </c>
      <c r="B706" t="s">
        <v>1773</v>
      </c>
    </row>
    <row r="707" spans="1:2">
      <c r="A707" t="s">
        <v>406</v>
      </c>
      <c r="B707" t="s">
        <v>1765</v>
      </c>
    </row>
    <row r="708" spans="1:2">
      <c r="A708" t="s">
        <v>406</v>
      </c>
      <c r="B708" t="s">
        <v>1766</v>
      </c>
    </row>
    <row r="709" spans="1:2">
      <c r="A709" t="s">
        <v>406</v>
      </c>
      <c r="B709" t="s">
        <v>1773</v>
      </c>
    </row>
    <row r="710" spans="1:2">
      <c r="A710" t="s">
        <v>407</v>
      </c>
      <c r="B710" t="s">
        <v>1765</v>
      </c>
    </row>
    <row r="711" spans="1:2">
      <c r="A711" t="s">
        <v>407</v>
      </c>
      <c r="B711" t="s">
        <v>1769</v>
      </c>
    </row>
    <row r="712" spans="1:2">
      <c r="A712" t="s">
        <v>408</v>
      </c>
      <c r="B712" t="s">
        <v>1765</v>
      </c>
    </row>
    <row r="713" spans="1:2">
      <c r="A713" t="s">
        <v>408</v>
      </c>
      <c r="B713" t="s">
        <v>1760</v>
      </c>
    </row>
    <row r="714" spans="1:2">
      <c r="A714" t="s">
        <v>409</v>
      </c>
      <c r="B714" t="s">
        <v>1765</v>
      </c>
    </row>
    <row r="715" spans="1:2">
      <c r="A715" t="s">
        <v>409</v>
      </c>
      <c r="B715" t="s">
        <v>1760</v>
      </c>
    </row>
    <row r="716" spans="1:2">
      <c r="A716" t="s">
        <v>410</v>
      </c>
      <c r="B716" t="s">
        <v>1765</v>
      </c>
    </row>
    <row r="717" spans="1:2">
      <c r="A717" t="s">
        <v>410</v>
      </c>
      <c r="B717" t="s">
        <v>1760</v>
      </c>
    </row>
    <row r="718" spans="1:2">
      <c r="A718" t="s">
        <v>411</v>
      </c>
      <c r="B718" t="s">
        <v>1765</v>
      </c>
    </row>
    <row r="719" spans="1:2">
      <c r="A719" t="s">
        <v>411</v>
      </c>
      <c r="B719" t="s">
        <v>1758</v>
      </c>
    </row>
    <row r="720" spans="1:2">
      <c r="A720" t="s">
        <v>411</v>
      </c>
      <c r="B720" t="s">
        <v>1760</v>
      </c>
    </row>
    <row r="721" spans="1:2">
      <c r="A721" t="s">
        <v>412</v>
      </c>
      <c r="B721" t="s">
        <v>1765</v>
      </c>
    </row>
    <row r="722" spans="1:2">
      <c r="A722" t="s">
        <v>412</v>
      </c>
      <c r="B722" t="s">
        <v>1758</v>
      </c>
    </row>
    <row r="723" spans="1:2">
      <c r="A723" t="s">
        <v>412</v>
      </c>
      <c r="B723" t="s">
        <v>1760</v>
      </c>
    </row>
    <row r="724" spans="1:2">
      <c r="A724" t="s">
        <v>413</v>
      </c>
      <c r="B724" t="s">
        <v>1756</v>
      </c>
    </row>
    <row r="725" spans="1:2">
      <c r="A725" t="s">
        <v>413</v>
      </c>
      <c r="B725" t="s">
        <v>1789</v>
      </c>
    </row>
    <row r="726" spans="1:2">
      <c r="A726" t="s">
        <v>414</v>
      </c>
      <c r="B726" t="s">
        <v>1765</v>
      </c>
    </row>
    <row r="727" spans="1:2">
      <c r="A727" t="s">
        <v>414</v>
      </c>
      <c r="B727" t="s">
        <v>1760</v>
      </c>
    </row>
    <row r="728" spans="1:2">
      <c r="A728" t="s">
        <v>415</v>
      </c>
      <c r="B728" t="s">
        <v>1765</v>
      </c>
    </row>
    <row r="729" spans="1:2">
      <c r="A729" t="s">
        <v>415</v>
      </c>
      <c r="B729" t="s">
        <v>1760</v>
      </c>
    </row>
    <row r="730" spans="1:2">
      <c r="A730" t="s">
        <v>415</v>
      </c>
      <c r="B730" t="s">
        <v>1762</v>
      </c>
    </row>
    <row r="731" spans="1:2">
      <c r="A731" t="s">
        <v>416</v>
      </c>
      <c r="B731" t="s">
        <v>1765</v>
      </c>
    </row>
    <row r="732" spans="1:2">
      <c r="A732" t="s">
        <v>416</v>
      </c>
      <c r="B732" t="s">
        <v>1756</v>
      </c>
    </row>
    <row r="733" spans="1:2">
      <c r="A733" t="s">
        <v>416</v>
      </c>
      <c r="B733" t="s">
        <v>1760</v>
      </c>
    </row>
    <row r="734" spans="1:2">
      <c r="A734" t="s">
        <v>417</v>
      </c>
      <c r="B734" t="s">
        <v>1765</v>
      </c>
    </row>
    <row r="735" spans="1:2">
      <c r="A735" t="s">
        <v>417</v>
      </c>
      <c r="B735" t="s">
        <v>1756</v>
      </c>
    </row>
    <row r="736" spans="1:2">
      <c r="A736" t="s">
        <v>417</v>
      </c>
      <c r="B736" t="s">
        <v>1760</v>
      </c>
    </row>
    <row r="737" spans="1:2">
      <c r="A737" t="s">
        <v>418</v>
      </c>
      <c r="B737" t="s">
        <v>1765</v>
      </c>
    </row>
    <row r="738" spans="1:2">
      <c r="A738" t="s">
        <v>418</v>
      </c>
      <c r="B738" t="s">
        <v>1756</v>
      </c>
    </row>
    <row r="739" spans="1:2">
      <c r="A739" t="s">
        <v>418</v>
      </c>
      <c r="B739" t="s">
        <v>1760</v>
      </c>
    </row>
    <row r="740" spans="1:2">
      <c r="A740" t="s">
        <v>419</v>
      </c>
      <c r="B740" t="s">
        <v>1765</v>
      </c>
    </row>
    <row r="741" spans="1:2">
      <c r="A741" t="s">
        <v>419</v>
      </c>
      <c r="B741" t="s">
        <v>1756</v>
      </c>
    </row>
    <row r="742" spans="1:2">
      <c r="A742" t="s">
        <v>419</v>
      </c>
      <c r="B742" t="s">
        <v>1760</v>
      </c>
    </row>
    <row r="743" spans="1:2">
      <c r="A743" t="s">
        <v>420</v>
      </c>
      <c r="B743" t="s">
        <v>1765</v>
      </c>
    </row>
    <row r="744" spans="1:2">
      <c r="A744" t="s">
        <v>420</v>
      </c>
      <c r="B744" t="s">
        <v>1756</v>
      </c>
    </row>
    <row r="745" spans="1:2">
      <c r="A745" t="s">
        <v>420</v>
      </c>
      <c r="B745" t="s">
        <v>1760</v>
      </c>
    </row>
    <row r="746" spans="1:2">
      <c r="A746" t="s">
        <v>421</v>
      </c>
      <c r="B746" t="s">
        <v>1765</v>
      </c>
    </row>
    <row r="747" spans="1:2">
      <c r="A747" t="s">
        <v>421</v>
      </c>
      <c r="B747" t="s">
        <v>1756</v>
      </c>
    </row>
    <row r="748" spans="1:2">
      <c r="A748" t="s">
        <v>421</v>
      </c>
      <c r="B748" t="s">
        <v>1760</v>
      </c>
    </row>
    <row r="749" spans="1:2">
      <c r="A749" t="s">
        <v>422</v>
      </c>
      <c r="B749" t="s">
        <v>1765</v>
      </c>
    </row>
    <row r="750" spans="1:2">
      <c r="A750" t="s">
        <v>422</v>
      </c>
      <c r="B750" t="s">
        <v>1789</v>
      </c>
    </row>
    <row r="751" spans="1:2">
      <c r="A751" t="s">
        <v>423</v>
      </c>
      <c r="B751" t="s">
        <v>1765</v>
      </c>
    </row>
    <row r="752" spans="1:2">
      <c r="A752" t="s">
        <v>423</v>
      </c>
      <c r="B752" t="s">
        <v>1789</v>
      </c>
    </row>
    <row r="753" spans="1:2">
      <c r="A753" t="s">
        <v>423</v>
      </c>
      <c r="B753" t="s">
        <v>1760</v>
      </c>
    </row>
    <row r="754" spans="1:2">
      <c r="A754" t="s">
        <v>424</v>
      </c>
      <c r="B754" t="s">
        <v>1765</v>
      </c>
    </row>
    <row r="755" spans="1:2">
      <c r="A755" t="s">
        <v>424</v>
      </c>
      <c r="B755" t="s">
        <v>1789</v>
      </c>
    </row>
    <row r="756" spans="1:2">
      <c r="A756" t="s">
        <v>424</v>
      </c>
      <c r="B756" t="s">
        <v>1760</v>
      </c>
    </row>
    <row r="757" spans="1:2">
      <c r="A757" t="s">
        <v>425</v>
      </c>
      <c r="B757" t="s">
        <v>1765</v>
      </c>
    </row>
    <row r="758" spans="1:2">
      <c r="A758" t="s">
        <v>425</v>
      </c>
      <c r="B758" t="s">
        <v>1789</v>
      </c>
    </row>
    <row r="759" spans="1:2">
      <c r="A759" t="s">
        <v>425</v>
      </c>
      <c r="B759" t="s">
        <v>1760</v>
      </c>
    </row>
    <row r="760" spans="1:2">
      <c r="A760" t="s">
        <v>426</v>
      </c>
      <c r="B760" t="s">
        <v>1765</v>
      </c>
    </row>
    <row r="761" spans="1:2">
      <c r="A761" t="s">
        <v>426</v>
      </c>
      <c r="B761" t="s">
        <v>1789</v>
      </c>
    </row>
    <row r="762" spans="1:2">
      <c r="A762" t="s">
        <v>426</v>
      </c>
      <c r="B762" t="s">
        <v>1760</v>
      </c>
    </row>
    <row r="763" spans="1:2">
      <c r="A763" t="s">
        <v>427</v>
      </c>
      <c r="B763" t="s">
        <v>1765</v>
      </c>
    </row>
    <row r="764" spans="1:2">
      <c r="A764" t="s">
        <v>427</v>
      </c>
      <c r="B764" t="s">
        <v>1789</v>
      </c>
    </row>
    <row r="765" spans="1:2">
      <c r="A765" t="s">
        <v>427</v>
      </c>
      <c r="B765" t="s">
        <v>1760</v>
      </c>
    </row>
    <row r="766" spans="1:2">
      <c r="A766" t="s">
        <v>428</v>
      </c>
      <c r="B766" t="s">
        <v>1765</v>
      </c>
    </row>
    <row r="767" spans="1:2">
      <c r="A767" t="s">
        <v>428</v>
      </c>
      <c r="B767" t="s">
        <v>1773</v>
      </c>
    </row>
    <row r="768" spans="1:2">
      <c r="A768" t="s">
        <v>429</v>
      </c>
      <c r="B768" t="s">
        <v>1773</v>
      </c>
    </row>
    <row r="769" spans="1:2">
      <c r="A769" t="s">
        <v>430</v>
      </c>
      <c r="B769" t="s">
        <v>1765</v>
      </c>
    </row>
    <row r="770" spans="1:2">
      <c r="A770" t="s">
        <v>430</v>
      </c>
      <c r="B770" t="s">
        <v>1773</v>
      </c>
    </row>
    <row r="771" spans="1:2">
      <c r="A771" t="s">
        <v>431</v>
      </c>
      <c r="B771" t="s">
        <v>1769</v>
      </c>
    </row>
    <row r="772" spans="1:2">
      <c r="A772" t="s">
        <v>432</v>
      </c>
      <c r="B772" t="s">
        <v>1766</v>
      </c>
    </row>
    <row r="773" spans="1:2">
      <c r="A773" t="s">
        <v>433</v>
      </c>
      <c r="B773" t="s">
        <v>1766</v>
      </c>
    </row>
    <row r="774" spans="1:2">
      <c r="A774" t="s">
        <v>434</v>
      </c>
      <c r="B774" t="s">
        <v>1766</v>
      </c>
    </row>
    <row r="775" spans="1:2">
      <c r="A775" t="s">
        <v>435</v>
      </c>
      <c r="B775" t="s">
        <v>1766</v>
      </c>
    </row>
    <row r="776" spans="1:2">
      <c r="A776" t="s">
        <v>436</v>
      </c>
      <c r="B776" t="s">
        <v>1827</v>
      </c>
    </row>
    <row r="777" spans="1:2">
      <c r="A777" t="s">
        <v>437</v>
      </c>
      <c r="B777" t="s">
        <v>1827</v>
      </c>
    </row>
    <row r="778" spans="1:2">
      <c r="A778" t="s">
        <v>438</v>
      </c>
      <c r="B778" t="s">
        <v>1827</v>
      </c>
    </row>
    <row r="779" spans="1:2">
      <c r="A779" t="s">
        <v>439</v>
      </c>
      <c r="B779" t="s">
        <v>1827</v>
      </c>
    </row>
    <row r="780" spans="1:2">
      <c r="A780" t="s">
        <v>439</v>
      </c>
      <c r="B780" t="s">
        <v>1829</v>
      </c>
    </row>
    <row r="781" spans="1:2">
      <c r="A781" t="s">
        <v>440</v>
      </c>
      <c r="B781" t="s">
        <v>1827</v>
      </c>
    </row>
    <row r="782" spans="1:2">
      <c r="A782" t="s">
        <v>441</v>
      </c>
      <c r="B782" t="s">
        <v>1827</v>
      </c>
    </row>
    <row r="783" spans="1:2">
      <c r="A783" t="s">
        <v>442</v>
      </c>
      <c r="B783" t="s">
        <v>1827</v>
      </c>
    </row>
    <row r="784" spans="1:2">
      <c r="A784" t="s">
        <v>443</v>
      </c>
      <c r="B784" t="s">
        <v>1827</v>
      </c>
    </row>
    <row r="785" spans="1:2">
      <c r="A785" t="s">
        <v>444</v>
      </c>
      <c r="B785" t="s">
        <v>1827</v>
      </c>
    </row>
    <row r="786" spans="1:2">
      <c r="A786" t="s">
        <v>1513</v>
      </c>
      <c r="B786" t="s">
        <v>1827</v>
      </c>
    </row>
    <row r="787" spans="1:2">
      <c r="A787" t="s">
        <v>1516</v>
      </c>
      <c r="B787" t="s">
        <v>1827</v>
      </c>
    </row>
    <row r="788" spans="1:2">
      <c r="A788" t="s">
        <v>1519</v>
      </c>
      <c r="B788" t="s">
        <v>1829</v>
      </c>
    </row>
    <row r="789" spans="1:2">
      <c r="A789" t="s">
        <v>448</v>
      </c>
      <c r="B789" t="s">
        <v>1766</v>
      </c>
    </row>
    <row r="790" spans="1:2">
      <c r="A790" t="s">
        <v>449</v>
      </c>
      <c r="B790" t="s">
        <v>1797</v>
      </c>
    </row>
    <row r="791" spans="1:2">
      <c r="A791" t="s">
        <v>450</v>
      </c>
      <c r="B791" t="s">
        <v>1797</v>
      </c>
    </row>
    <row r="792" spans="1:2">
      <c r="A792" t="s">
        <v>450</v>
      </c>
      <c r="B792" t="s">
        <v>1819</v>
      </c>
    </row>
    <row r="793" spans="1:2">
      <c r="A793" t="s">
        <v>451</v>
      </c>
      <c r="B793" t="s">
        <v>1797</v>
      </c>
    </row>
    <row r="794" spans="1:2">
      <c r="A794" t="s">
        <v>452</v>
      </c>
      <c r="B794" t="s">
        <v>1797</v>
      </c>
    </row>
    <row r="795" spans="1:2">
      <c r="A795" t="s">
        <v>453</v>
      </c>
      <c r="B795" t="s">
        <v>1797</v>
      </c>
    </row>
    <row r="796" spans="1:2">
      <c r="A796" t="s">
        <v>454</v>
      </c>
      <c r="B796" t="s">
        <v>1797</v>
      </c>
    </row>
    <row r="797" spans="1:2">
      <c r="A797" t="s">
        <v>455</v>
      </c>
      <c r="B797" t="s">
        <v>1765</v>
      </c>
    </row>
    <row r="798" spans="1:2">
      <c r="A798" t="s">
        <v>456</v>
      </c>
      <c r="B798" t="s">
        <v>1766</v>
      </c>
    </row>
    <row r="799" spans="1:2">
      <c r="A799" t="s">
        <v>457</v>
      </c>
      <c r="B799" t="s">
        <v>1766</v>
      </c>
    </row>
    <row r="800" spans="1:2">
      <c r="A800" t="s">
        <v>458</v>
      </c>
      <c r="B800" t="s">
        <v>1766</v>
      </c>
    </row>
    <row r="801" spans="1:2">
      <c r="A801" t="s">
        <v>459</v>
      </c>
      <c r="B801" t="s">
        <v>1765</v>
      </c>
    </row>
    <row r="802" spans="1:2">
      <c r="A802" t="s">
        <v>459</v>
      </c>
      <c r="B802" t="s">
        <v>1766</v>
      </c>
    </row>
    <row r="803" spans="1:2">
      <c r="A803" t="s">
        <v>459</v>
      </c>
      <c r="B803" t="s">
        <v>1769</v>
      </c>
    </row>
    <row r="804" spans="1:2">
      <c r="A804" t="s">
        <v>460</v>
      </c>
      <c r="B804" t="s">
        <v>1765</v>
      </c>
    </row>
    <row r="805" spans="1:2">
      <c r="A805" t="s">
        <v>460</v>
      </c>
      <c r="B805" t="s">
        <v>1769</v>
      </c>
    </row>
    <row r="806" spans="1:2">
      <c r="A806" t="s">
        <v>461</v>
      </c>
      <c r="B806" t="s">
        <v>1765</v>
      </c>
    </row>
    <row r="807" spans="1:2">
      <c r="A807" t="s">
        <v>461</v>
      </c>
      <c r="B807" t="s">
        <v>1769</v>
      </c>
    </row>
    <row r="808" spans="1:2">
      <c r="A808" t="s">
        <v>462</v>
      </c>
      <c r="B808" t="s">
        <v>1769</v>
      </c>
    </row>
    <row r="809" spans="1:2">
      <c r="A809" t="s">
        <v>463</v>
      </c>
      <c r="B809" t="s">
        <v>1769</v>
      </c>
    </row>
    <row r="810" spans="1:2">
      <c r="A810" t="s">
        <v>464</v>
      </c>
      <c r="B810" t="s">
        <v>1799</v>
      </c>
    </row>
    <row r="811" spans="1:2">
      <c r="A811" t="s">
        <v>465</v>
      </c>
      <c r="B811" t="s">
        <v>1765</v>
      </c>
    </row>
    <row r="812" spans="1:2">
      <c r="A812" t="s">
        <v>465</v>
      </c>
      <c r="B812" t="s">
        <v>1769</v>
      </c>
    </row>
    <row r="813" spans="1:2">
      <c r="A813" t="s">
        <v>466</v>
      </c>
      <c r="B813" t="s">
        <v>1765</v>
      </c>
    </row>
    <row r="814" spans="1:2">
      <c r="A814" t="s">
        <v>466</v>
      </c>
      <c r="B814" t="s">
        <v>1773</v>
      </c>
    </row>
    <row r="815" spans="1:2">
      <c r="A815" t="s">
        <v>467</v>
      </c>
      <c r="B815" t="s">
        <v>1773</v>
      </c>
    </row>
    <row r="816" spans="1:2">
      <c r="A816" t="s">
        <v>468</v>
      </c>
      <c r="B816" t="s">
        <v>1765</v>
      </c>
    </row>
    <row r="817" spans="1:2">
      <c r="A817" t="s">
        <v>468</v>
      </c>
      <c r="B817" t="s">
        <v>1859</v>
      </c>
    </row>
    <row r="818" spans="1:2">
      <c r="A818" t="s">
        <v>469</v>
      </c>
      <c r="B818" t="s">
        <v>1765</v>
      </c>
    </row>
    <row r="819" spans="1:2">
      <c r="A819" t="s">
        <v>469</v>
      </c>
      <c r="B819" t="s">
        <v>1859</v>
      </c>
    </row>
    <row r="820" spans="1:2">
      <c r="A820" t="s">
        <v>470</v>
      </c>
      <c r="B820" t="s">
        <v>1765</v>
      </c>
    </row>
    <row r="821" spans="1:2">
      <c r="A821" t="s">
        <v>470</v>
      </c>
      <c r="B821" t="s">
        <v>1859</v>
      </c>
    </row>
    <row r="822" spans="1:2">
      <c r="A822" t="s">
        <v>471</v>
      </c>
      <c r="B822" t="s">
        <v>1765</v>
      </c>
    </row>
    <row r="823" spans="1:2">
      <c r="A823" t="s">
        <v>471</v>
      </c>
      <c r="B823" t="s">
        <v>1769</v>
      </c>
    </row>
    <row r="824" spans="1:2">
      <c r="A824" t="s">
        <v>472</v>
      </c>
      <c r="B824" t="s">
        <v>1765</v>
      </c>
    </row>
    <row r="825" spans="1:2">
      <c r="A825" t="s">
        <v>472</v>
      </c>
      <c r="B825" t="s">
        <v>1769</v>
      </c>
    </row>
    <row r="826" spans="1:2">
      <c r="A826" t="s">
        <v>473</v>
      </c>
      <c r="B826" t="s">
        <v>1765</v>
      </c>
    </row>
    <row r="827" spans="1:2">
      <c r="A827" t="s">
        <v>473</v>
      </c>
      <c r="B827" t="s">
        <v>1769</v>
      </c>
    </row>
    <row r="828" spans="1:2">
      <c r="A828" t="s">
        <v>474</v>
      </c>
      <c r="B828" t="s">
        <v>1769</v>
      </c>
    </row>
    <row r="829" spans="1:2">
      <c r="A829" t="s">
        <v>475</v>
      </c>
      <c r="B829" t="s">
        <v>1769</v>
      </c>
    </row>
    <row r="830" spans="1:2">
      <c r="A830" t="s">
        <v>476</v>
      </c>
      <c r="B830" t="s">
        <v>1769</v>
      </c>
    </row>
    <row r="831" spans="1:2">
      <c r="A831" t="s">
        <v>477</v>
      </c>
      <c r="B831" t="s">
        <v>1769</v>
      </c>
    </row>
    <row r="832" spans="1:2">
      <c r="A832" t="s">
        <v>478</v>
      </c>
      <c r="B832" t="s">
        <v>1813</v>
      </c>
    </row>
    <row r="833" spans="1:2">
      <c r="A833" t="s">
        <v>478</v>
      </c>
      <c r="B833" t="s">
        <v>1773</v>
      </c>
    </row>
    <row r="834" spans="1:2">
      <c r="A834" t="s">
        <v>478</v>
      </c>
      <c r="B834" t="s">
        <v>1765</v>
      </c>
    </row>
    <row r="835" spans="1:2">
      <c r="A835" t="s">
        <v>479</v>
      </c>
      <c r="B835" t="s">
        <v>1813</v>
      </c>
    </row>
    <row r="836" spans="1:2">
      <c r="A836" t="s">
        <v>479</v>
      </c>
      <c r="B836" t="s">
        <v>1773</v>
      </c>
    </row>
    <row r="837" spans="1:2">
      <c r="A837" t="s">
        <v>479</v>
      </c>
      <c r="B837" t="s">
        <v>1765</v>
      </c>
    </row>
    <row r="838" spans="1:2">
      <c r="A838" t="s">
        <v>480</v>
      </c>
      <c r="B838" t="s">
        <v>1813</v>
      </c>
    </row>
    <row r="839" spans="1:2">
      <c r="A839" t="s">
        <v>480</v>
      </c>
      <c r="B839" t="s">
        <v>1773</v>
      </c>
    </row>
    <row r="840" spans="1:2">
      <c r="A840" t="s">
        <v>480</v>
      </c>
      <c r="B840" t="s">
        <v>1765</v>
      </c>
    </row>
    <row r="841" spans="1:2">
      <c r="A841" t="s">
        <v>481</v>
      </c>
      <c r="B841" t="s">
        <v>1813</v>
      </c>
    </row>
    <row r="842" spans="1:2">
      <c r="A842" t="s">
        <v>481</v>
      </c>
      <c r="B842" t="s">
        <v>1773</v>
      </c>
    </row>
    <row r="843" spans="1:2">
      <c r="A843" t="s">
        <v>481</v>
      </c>
      <c r="B843" t="s">
        <v>1765</v>
      </c>
    </row>
    <row r="844" spans="1:2">
      <c r="A844" t="s">
        <v>481</v>
      </c>
      <c r="B844" t="s">
        <v>1821</v>
      </c>
    </row>
    <row r="845" spans="1:2">
      <c r="A845" t="s">
        <v>482</v>
      </c>
      <c r="B845" t="s">
        <v>1874</v>
      </c>
    </row>
    <row r="846" spans="1:2">
      <c r="A846" t="s">
        <v>482</v>
      </c>
      <c r="B846" t="s">
        <v>1766</v>
      </c>
    </row>
    <row r="847" spans="1:2">
      <c r="A847" t="s">
        <v>483</v>
      </c>
      <c r="B847" t="s">
        <v>1874</v>
      </c>
    </row>
    <row r="848" spans="1:2">
      <c r="A848" t="s">
        <v>483</v>
      </c>
      <c r="B848" t="s">
        <v>1765</v>
      </c>
    </row>
    <row r="849" spans="1:2">
      <c r="A849" t="s">
        <v>484</v>
      </c>
      <c r="B849" t="s">
        <v>1773</v>
      </c>
    </row>
    <row r="850" spans="1:2">
      <c r="A850" t="s">
        <v>484</v>
      </c>
      <c r="B850" t="s">
        <v>1765</v>
      </c>
    </row>
    <row r="851" spans="1:2">
      <c r="A851" t="s">
        <v>485</v>
      </c>
      <c r="B851" t="s">
        <v>1773</v>
      </c>
    </row>
    <row r="852" spans="1:2">
      <c r="A852" t="s">
        <v>485</v>
      </c>
      <c r="B852" t="s">
        <v>1765</v>
      </c>
    </row>
    <row r="853" spans="1:2">
      <c r="A853" t="s">
        <v>486</v>
      </c>
      <c r="B853" t="s">
        <v>1766</v>
      </c>
    </row>
    <row r="854" spans="1:2">
      <c r="A854" t="s">
        <v>486</v>
      </c>
      <c r="B854" t="s">
        <v>1874</v>
      </c>
    </row>
    <row r="855" spans="1:2">
      <c r="A855" t="s">
        <v>487</v>
      </c>
      <c r="B855" t="s">
        <v>1766</v>
      </c>
    </row>
    <row r="856" spans="1:2">
      <c r="A856" t="s">
        <v>487</v>
      </c>
      <c r="B856" t="s">
        <v>1874</v>
      </c>
    </row>
    <row r="857" spans="1:2">
      <c r="A857" t="s">
        <v>488</v>
      </c>
      <c r="B857" t="s">
        <v>1766</v>
      </c>
    </row>
    <row r="858" spans="1:2">
      <c r="A858" t="s">
        <v>488</v>
      </c>
      <c r="B858" t="s">
        <v>1874</v>
      </c>
    </row>
    <row r="859" spans="1:2">
      <c r="A859" t="s">
        <v>489</v>
      </c>
      <c r="B859" t="s">
        <v>1765</v>
      </c>
    </row>
    <row r="860" spans="1:2">
      <c r="A860" t="s">
        <v>489</v>
      </c>
      <c r="B860" t="s">
        <v>1766</v>
      </c>
    </row>
    <row r="861" spans="1:2">
      <c r="A861" t="s">
        <v>489</v>
      </c>
      <c r="B861" t="s">
        <v>1874</v>
      </c>
    </row>
    <row r="862" spans="1:2">
      <c r="A862" t="s">
        <v>490</v>
      </c>
      <c r="B862" t="s">
        <v>1765</v>
      </c>
    </row>
    <row r="863" spans="1:2">
      <c r="A863" t="s">
        <v>491</v>
      </c>
      <c r="B863" t="s">
        <v>1765</v>
      </c>
    </row>
    <row r="864" spans="1:2">
      <c r="A864" t="s">
        <v>492</v>
      </c>
      <c r="B864" t="s">
        <v>1765</v>
      </c>
    </row>
    <row r="865" spans="1:2">
      <c r="A865" t="s">
        <v>492</v>
      </c>
      <c r="B865" t="s">
        <v>1766</v>
      </c>
    </row>
    <row r="866" spans="1:2">
      <c r="A866" t="s">
        <v>492</v>
      </c>
      <c r="B866" t="s">
        <v>1874</v>
      </c>
    </row>
    <row r="867" spans="1:2">
      <c r="A867" t="s">
        <v>493</v>
      </c>
      <c r="B867" t="s">
        <v>1765</v>
      </c>
    </row>
    <row r="868" spans="1:2">
      <c r="A868" t="s">
        <v>493</v>
      </c>
      <c r="B868" t="s">
        <v>1766</v>
      </c>
    </row>
    <row r="869" spans="1:2">
      <c r="A869" t="s">
        <v>493</v>
      </c>
      <c r="B869" t="s">
        <v>1874</v>
      </c>
    </row>
    <row r="870" spans="1:2">
      <c r="A870" t="s">
        <v>494</v>
      </c>
      <c r="B870" t="s">
        <v>1766</v>
      </c>
    </row>
    <row r="871" spans="1:2">
      <c r="A871" t="s">
        <v>494</v>
      </c>
      <c r="B871" t="s">
        <v>1874</v>
      </c>
    </row>
    <row r="872" spans="1:2">
      <c r="A872" t="s">
        <v>495</v>
      </c>
      <c r="B872" t="s">
        <v>1874</v>
      </c>
    </row>
    <row r="873" spans="1:2">
      <c r="A873" t="s">
        <v>495</v>
      </c>
      <c r="B873" t="s">
        <v>1766</v>
      </c>
    </row>
    <row r="874" spans="1:2">
      <c r="A874" t="s">
        <v>496</v>
      </c>
      <c r="B874" t="s">
        <v>1874</v>
      </c>
    </row>
    <row r="875" spans="1:2">
      <c r="A875" t="s">
        <v>496</v>
      </c>
      <c r="B875" t="s">
        <v>1766</v>
      </c>
    </row>
    <row r="876" spans="1:2">
      <c r="A876" t="s">
        <v>497</v>
      </c>
      <c r="B876" t="s">
        <v>1874</v>
      </c>
    </row>
    <row r="877" spans="1:2">
      <c r="A877" t="s">
        <v>497</v>
      </c>
      <c r="B877" t="s">
        <v>1766</v>
      </c>
    </row>
    <row r="878" spans="1:2">
      <c r="A878" t="s">
        <v>498</v>
      </c>
      <c r="B878" t="s">
        <v>1874</v>
      </c>
    </row>
    <row r="879" spans="1:2">
      <c r="A879" t="s">
        <v>498</v>
      </c>
      <c r="B879" t="s">
        <v>1766</v>
      </c>
    </row>
    <row r="880" spans="1:2">
      <c r="A880" t="s">
        <v>499</v>
      </c>
      <c r="B880" t="s">
        <v>1874</v>
      </c>
    </row>
    <row r="881" spans="1:2">
      <c r="A881" t="s">
        <v>499</v>
      </c>
      <c r="B881" t="s">
        <v>1766</v>
      </c>
    </row>
    <row r="882" spans="1:2">
      <c r="A882" t="s">
        <v>500</v>
      </c>
      <c r="B882" t="s">
        <v>1773</v>
      </c>
    </row>
    <row r="883" spans="1:2">
      <c r="A883" t="s">
        <v>500</v>
      </c>
      <c r="B883" t="s">
        <v>1766</v>
      </c>
    </row>
    <row r="884" spans="1:2">
      <c r="A884" t="s">
        <v>501</v>
      </c>
      <c r="B884" t="s">
        <v>1773</v>
      </c>
    </row>
    <row r="885" spans="1:2">
      <c r="A885" t="s">
        <v>501</v>
      </c>
      <c r="B885" t="s">
        <v>1766</v>
      </c>
    </row>
    <row r="886" spans="1:2">
      <c r="A886" t="s">
        <v>502</v>
      </c>
      <c r="B886" t="s">
        <v>1874</v>
      </c>
    </row>
    <row r="887" spans="1:2">
      <c r="A887" t="s">
        <v>503</v>
      </c>
      <c r="B887" t="s">
        <v>1765</v>
      </c>
    </row>
    <row r="888" spans="1:2">
      <c r="A888" t="s">
        <v>504</v>
      </c>
      <c r="B888" t="s">
        <v>1801</v>
      </c>
    </row>
    <row r="889" spans="1:2">
      <c r="A889" t="s">
        <v>505</v>
      </c>
      <c r="B889" t="s">
        <v>1769</v>
      </c>
    </row>
    <row r="890" spans="1:2">
      <c r="A890" t="s">
        <v>506</v>
      </c>
      <c r="B890" t="s">
        <v>1803</v>
      </c>
    </row>
    <row r="891" spans="1:2">
      <c r="A891" t="s">
        <v>507</v>
      </c>
      <c r="B891" t="s">
        <v>1805</v>
      </c>
    </row>
    <row r="892" spans="1:2">
      <c r="A892" t="s">
        <v>508</v>
      </c>
      <c r="B892" t="s">
        <v>1765</v>
      </c>
    </row>
    <row r="893" spans="1:2">
      <c r="A893" t="s">
        <v>509</v>
      </c>
      <c r="B893" t="s">
        <v>1766</v>
      </c>
    </row>
    <row r="894" spans="1:2">
      <c r="A894" t="s">
        <v>510</v>
      </c>
      <c r="B894" t="s">
        <v>1766</v>
      </c>
    </row>
    <row r="895" spans="1:2">
      <c r="A895" t="s">
        <v>511</v>
      </c>
      <c r="B895" t="s">
        <v>1773</v>
      </c>
    </row>
    <row r="896" spans="1:2">
      <c r="A896" t="s">
        <v>512</v>
      </c>
      <c r="B896" t="s">
        <v>1773</v>
      </c>
    </row>
    <row r="897" spans="1:2">
      <c r="A897" t="s">
        <v>513</v>
      </c>
      <c r="B897" t="s">
        <v>1773</v>
      </c>
    </row>
    <row r="898" spans="1:2">
      <c r="A898" t="s">
        <v>514</v>
      </c>
      <c r="B898" t="s">
        <v>1766</v>
      </c>
    </row>
    <row r="899" spans="1:2">
      <c r="A899" t="s">
        <v>515</v>
      </c>
      <c r="B899" t="s">
        <v>1766</v>
      </c>
    </row>
    <row r="900" spans="1:2">
      <c r="A900" t="s">
        <v>516</v>
      </c>
      <c r="B900" t="s">
        <v>1766</v>
      </c>
    </row>
    <row r="901" spans="1:2">
      <c r="A901" t="s">
        <v>517</v>
      </c>
      <c r="B901" t="s">
        <v>1766</v>
      </c>
    </row>
    <row r="902" spans="1:2">
      <c r="A902" t="s">
        <v>518</v>
      </c>
      <c r="B902" t="s">
        <v>1807</v>
      </c>
    </row>
    <row r="903" spans="1:2">
      <c r="A903" t="s">
        <v>519</v>
      </c>
      <c r="B903" t="s">
        <v>1807</v>
      </c>
    </row>
    <row r="904" spans="1:2">
      <c r="A904" t="s">
        <v>520</v>
      </c>
      <c r="B904" t="s">
        <v>1769</v>
      </c>
    </row>
    <row r="905" spans="1:2">
      <c r="A905" t="s">
        <v>520</v>
      </c>
      <c r="B905" t="s">
        <v>1765</v>
      </c>
    </row>
    <row r="906" spans="1:2">
      <c r="A906" t="s">
        <v>520</v>
      </c>
      <c r="B906" t="s">
        <v>1773</v>
      </c>
    </row>
    <row r="907" spans="1:2">
      <c r="A907" t="s">
        <v>521</v>
      </c>
      <c r="B907" t="s">
        <v>1773</v>
      </c>
    </row>
    <row r="908" spans="1:2">
      <c r="A908" t="s">
        <v>522</v>
      </c>
      <c r="B908" t="s">
        <v>1769</v>
      </c>
    </row>
    <row r="909" spans="1:2">
      <c r="A909" t="s">
        <v>523</v>
      </c>
      <c r="B909" t="s">
        <v>1769</v>
      </c>
    </row>
    <row r="910" spans="1:2">
      <c r="A910" t="s">
        <v>524</v>
      </c>
      <c r="B910" t="s">
        <v>1769</v>
      </c>
    </row>
    <row r="911" spans="1:2">
      <c r="A911" t="s">
        <v>524</v>
      </c>
      <c r="B911" t="s">
        <v>1766</v>
      </c>
    </row>
    <row r="912" spans="1:2">
      <c r="A912" t="s">
        <v>525</v>
      </c>
      <c r="B912" t="s">
        <v>1769</v>
      </c>
    </row>
    <row r="913" spans="1:2">
      <c r="A913" t="s">
        <v>525</v>
      </c>
      <c r="B913" t="s">
        <v>1766</v>
      </c>
    </row>
    <row r="914" spans="1:2">
      <c r="A914" t="s">
        <v>526</v>
      </c>
      <c r="B914" t="s">
        <v>1769</v>
      </c>
    </row>
    <row r="915" spans="1:2">
      <c r="A915" t="s">
        <v>526</v>
      </c>
      <c r="B915" t="s">
        <v>1766</v>
      </c>
    </row>
    <row r="916" spans="1:2">
      <c r="A916" t="s">
        <v>527</v>
      </c>
      <c r="B916" t="s">
        <v>1769</v>
      </c>
    </row>
    <row r="917" spans="1:2">
      <c r="A917" t="s">
        <v>527</v>
      </c>
      <c r="B917" t="s">
        <v>1765</v>
      </c>
    </row>
    <row r="918" spans="1:2">
      <c r="A918" t="s">
        <v>528</v>
      </c>
      <c r="B918" t="s">
        <v>1769</v>
      </c>
    </row>
    <row r="919" spans="1:2">
      <c r="A919" t="s">
        <v>528</v>
      </c>
      <c r="B919" t="s">
        <v>1765</v>
      </c>
    </row>
    <row r="920" spans="1:2">
      <c r="A920" t="s">
        <v>529</v>
      </c>
      <c r="B920" t="s">
        <v>1769</v>
      </c>
    </row>
    <row r="921" spans="1:2">
      <c r="A921" t="s">
        <v>529</v>
      </c>
      <c r="B921" t="s">
        <v>1765</v>
      </c>
    </row>
    <row r="922" spans="1:2">
      <c r="A922" t="s">
        <v>530</v>
      </c>
      <c r="B922" t="s">
        <v>1769</v>
      </c>
    </row>
    <row r="923" spans="1:2">
      <c r="A923" t="s">
        <v>530</v>
      </c>
      <c r="B923" t="s">
        <v>1766</v>
      </c>
    </row>
    <row r="924" spans="1:2">
      <c r="A924" t="s">
        <v>530</v>
      </c>
      <c r="B924" t="s">
        <v>1765</v>
      </c>
    </row>
    <row r="925" spans="1:2">
      <c r="A925" t="s">
        <v>531</v>
      </c>
      <c r="B925" t="s">
        <v>1769</v>
      </c>
    </row>
    <row r="926" spans="1:2">
      <c r="A926" t="s">
        <v>531</v>
      </c>
      <c r="B926" t="s">
        <v>1766</v>
      </c>
    </row>
    <row r="927" spans="1:2">
      <c r="A927" t="s">
        <v>531</v>
      </c>
      <c r="B927" t="s">
        <v>1765</v>
      </c>
    </row>
    <row r="928" spans="1:2">
      <c r="A928" t="s">
        <v>532</v>
      </c>
      <c r="B928" t="s">
        <v>1769</v>
      </c>
    </row>
    <row r="929" spans="1:2">
      <c r="A929" t="s">
        <v>532</v>
      </c>
      <c r="B929" t="s">
        <v>1766</v>
      </c>
    </row>
    <row r="930" spans="1:2">
      <c r="A930" t="s">
        <v>533</v>
      </c>
      <c r="B930" t="s">
        <v>1769</v>
      </c>
    </row>
    <row r="931" spans="1:2">
      <c r="A931" t="s">
        <v>533</v>
      </c>
      <c r="B931" t="s">
        <v>1766</v>
      </c>
    </row>
    <row r="932" spans="1:2">
      <c r="A932" t="s">
        <v>533</v>
      </c>
      <c r="B932" t="s">
        <v>1765</v>
      </c>
    </row>
    <row r="933" spans="1:2">
      <c r="A933" t="s">
        <v>534</v>
      </c>
      <c r="B933" t="s">
        <v>1769</v>
      </c>
    </row>
    <row r="934" spans="1:2">
      <c r="A934" t="s">
        <v>534</v>
      </c>
      <c r="B934" t="s">
        <v>1766</v>
      </c>
    </row>
    <row r="935" spans="1:2">
      <c r="A935" t="s">
        <v>534</v>
      </c>
      <c r="B935" t="s">
        <v>1765</v>
      </c>
    </row>
    <row r="936" spans="1:2">
      <c r="A936" t="s">
        <v>535</v>
      </c>
      <c r="B936" t="s">
        <v>1769</v>
      </c>
    </row>
    <row r="937" spans="1:2">
      <c r="A937" t="s">
        <v>535</v>
      </c>
      <c r="B937" t="s">
        <v>1766</v>
      </c>
    </row>
    <row r="938" spans="1:2">
      <c r="A938" t="s">
        <v>536</v>
      </c>
      <c r="B938" t="s">
        <v>1769</v>
      </c>
    </row>
    <row r="939" spans="1:2">
      <c r="A939" t="s">
        <v>536</v>
      </c>
      <c r="B939" t="s">
        <v>1766</v>
      </c>
    </row>
    <row r="940" spans="1:2">
      <c r="A940" t="s">
        <v>537</v>
      </c>
      <c r="B940" t="s">
        <v>1769</v>
      </c>
    </row>
    <row r="941" spans="1:2">
      <c r="A941" t="s">
        <v>537</v>
      </c>
      <c r="B941" t="s">
        <v>1874</v>
      </c>
    </row>
    <row r="942" spans="1:2">
      <c r="A942" t="s">
        <v>538</v>
      </c>
      <c r="B942" t="s">
        <v>1769</v>
      </c>
    </row>
    <row r="943" spans="1:2">
      <c r="A943" t="s">
        <v>538</v>
      </c>
      <c r="B943" t="s">
        <v>1874</v>
      </c>
    </row>
    <row r="944" spans="1:2">
      <c r="A944" t="s">
        <v>538</v>
      </c>
      <c r="B944" t="s">
        <v>1765</v>
      </c>
    </row>
    <row r="945" spans="1:2">
      <c r="A945" t="s">
        <v>539</v>
      </c>
      <c r="B945" t="s">
        <v>1769</v>
      </c>
    </row>
    <row r="946" spans="1:2">
      <c r="A946" t="s">
        <v>539</v>
      </c>
      <c r="B946" t="s">
        <v>1765</v>
      </c>
    </row>
    <row r="947" spans="1:2">
      <c r="A947" t="s">
        <v>539</v>
      </c>
      <c r="B947" t="s">
        <v>1874</v>
      </c>
    </row>
    <row r="948" spans="1:2">
      <c r="A948" t="s">
        <v>540</v>
      </c>
      <c r="B948" t="s">
        <v>1769</v>
      </c>
    </row>
    <row r="949" spans="1:2">
      <c r="A949" t="s">
        <v>540</v>
      </c>
      <c r="B949" t="s">
        <v>1874</v>
      </c>
    </row>
    <row r="950" spans="1:2">
      <c r="A950" t="s">
        <v>540</v>
      </c>
      <c r="B950" t="s">
        <v>1765</v>
      </c>
    </row>
    <row r="951" spans="1:2">
      <c r="A951" t="s">
        <v>541</v>
      </c>
      <c r="B951" t="s">
        <v>1769</v>
      </c>
    </row>
    <row r="952" spans="1:2">
      <c r="A952" t="s">
        <v>541</v>
      </c>
      <c r="B952" t="s">
        <v>1765</v>
      </c>
    </row>
    <row r="953" spans="1:2">
      <c r="A953" t="s">
        <v>542</v>
      </c>
      <c r="B953" t="s">
        <v>1769</v>
      </c>
    </row>
    <row r="954" spans="1:2">
      <c r="A954" t="s">
        <v>542</v>
      </c>
      <c r="B954" t="s">
        <v>1765</v>
      </c>
    </row>
    <row r="955" spans="1:2">
      <c r="A955" t="s">
        <v>543</v>
      </c>
      <c r="B955" t="s">
        <v>1769</v>
      </c>
    </row>
    <row r="956" spans="1:2">
      <c r="A956" t="s">
        <v>544</v>
      </c>
      <c r="B956" t="s">
        <v>1769</v>
      </c>
    </row>
    <row r="957" spans="1:2">
      <c r="A957" t="s">
        <v>544</v>
      </c>
      <c r="B957" t="s">
        <v>1765</v>
      </c>
    </row>
    <row r="958" spans="1:2">
      <c r="A958" t="s">
        <v>545</v>
      </c>
      <c r="B958" t="s">
        <v>1769</v>
      </c>
    </row>
    <row r="959" spans="1:2">
      <c r="A959" t="s">
        <v>545</v>
      </c>
      <c r="B959" t="s">
        <v>1765</v>
      </c>
    </row>
    <row r="960" spans="1:2">
      <c r="A960" t="s">
        <v>546</v>
      </c>
      <c r="B960" t="s">
        <v>1769</v>
      </c>
    </row>
    <row r="961" spans="1:2">
      <c r="A961" t="s">
        <v>546</v>
      </c>
      <c r="B961" t="s">
        <v>1765</v>
      </c>
    </row>
    <row r="962" spans="1:2">
      <c r="A962" t="s">
        <v>547</v>
      </c>
      <c r="B962" t="s">
        <v>1769</v>
      </c>
    </row>
    <row r="963" spans="1:2">
      <c r="A963" t="s">
        <v>547</v>
      </c>
      <c r="B963" t="s">
        <v>1765</v>
      </c>
    </row>
    <row r="964" spans="1:2">
      <c r="A964" t="s">
        <v>548</v>
      </c>
      <c r="B964" t="s">
        <v>1769</v>
      </c>
    </row>
    <row r="965" spans="1:2">
      <c r="A965" t="s">
        <v>549</v>
      </c>
      <c r="B965" t="s">
        <v>1769</v>
      </c>
    </row>
    <row r="966" spans="1:2">
      <c r="A966" t="s">
        <v>550</v>
      </c>
      <c r="B966" t="s">
        <v>1769</v>
      </c>
    </row>
    <row r="967" spans="1:2">
      <c r="A967" t="s">
        <v>551</v>
      </c>
      <c r="B967" t="s">
        <v>1769</v>
      </c>
    </row>
    <row r="968" spans="1:2">
      <c r="A968" t="s">
        <v>552</v>
      </c>
      <c r="B968" t="s">
        <v>1769</v>
      </c>
    </row>
    <row r="969" spans="1:2">
      <c r="A969" t="s">
        <v>553</v>
      </c>
      <c r="B969" t="s">
        <v>1769</v>
      </c>
    </row>
    <row r="970" spans="1:2">
      <c r="A970" t="s">
        <v>554</v>
      </c>
      <c r="B970" t="s">
        <v>1769</v>
      </c>
    </row>
    <row r="971" spans="1:2">
      <c r="A971" t="s">
        <v>555</v>
      </c>
      <c r="B971" t="s">
        <v>1769</v>
      </c>
    </row>
    <row r="972" spans="1:2">
      <c r="A972" t="s">
        <v>556</v>
      </c>
      <c r="B972" t="s">
        <v>1769</v>
      </c>
    </row>
    <row r="973" spans="1:2">
      <c r="A973" t="s">
        <v>557</v>
      </c>
      <c r="B973" t="s">
        <v>1769</v>
      </c>
    </row>
    <row r="974" spans="1:2">
      <c r="A974" t="s">
        <v>558</v>
      </c>
      <c r="B974" t="s">
        <v>1769</v>
      </c>
    </row>
    <row r="975" spans="1:2">
      <c r="A975" t="s">
        <v>558</v>
      </c>
      <c r="B975" t="s">
        <v>1811</v>
      </c>
    </row>
    <row r="976" spans="1:2">
      <c r="A976" t="s">
        <v>559</v>
      </c>
      <c r="B976" t="s">
        <v>1769</v>
      </c>
    </row>
    <row r="977" spans="1:2">
      <c r="A977" t="s">
        <v>559</v>
      </c>
      <c r="B977" t="s">
        <v>1811</v>
      </c>
    </row>
    <row r="978" spans="1:2">
      <c r="A978" t="s">
        <v>560</v>
      </c>
      <c r="B978" t="s">
        <v>1769</v>
      </c>
    </row>
    <row r="979" spans="1:2">
      <c r="A979" t="s">
        <v>560</v>
      </c>
      <c r="B979" t="s">
        <v>1811</v>
      </c>
    </row>
    <row r="980" spans="1:2">
      <c r="A980" t="s">
        <v>561</v>
      </c>
      <c r="B980" t="s">
        <v>1769</v>
      </c>
    </row>
    <row r="981" spans="1:2">
      <c r="A981" t="s">
        <v>562</v>
      </c>
      <c r="B981" t="s">
        <v>1773</v>
      </c>
    </row>
    <row r="982" spans="1:2">
      <c r="A982" t="s">
        <v>563</v>
      </c>
      <c r="B982" t="s">
        <v>1773</v>
      </c>
    </row>
    <row r="983" spans="1:2">
      <c r="A983" t="s">
        <v>563</v>
      </c>
      <c r="B983" t="s">
        <v>1765</v>
      </c>
    </row>
    <row r="984" spans="1:2">
      <c r="A984" t="s">
        <v>564</v>
      </c>
      <c r="B984" t="s">
        <v>1766</v>
      </c>
    </row>
    <row r="985" spans="1:2">
      <c r="A985" t="s">
        <v>565</v>
      </c>
      <c r="B985" t="s">
        <v>1766</v>
      </c>
    </row>
    <row r="986" spans="1:2">
      <c r="A986" t="s">
        <v>566</v>
      </c>
      <c r="B986" t="s">
        <v>1766</v>
      </c>
    </row>
    <row r="987" spans="1:2">
      <c r="A987" t="s">
        <v>567</v>
      </c>
      <c r="B987" t="s">
        <v>1766</v>
      </c>
    </row>
    <row r="988" spans="1:2">
      <c r="A988" t="s">
        <v>568</v>
      </c>
      <c r="B988" t="s">
        <v>1765</v>
      </c>
    </row>
    <row r="989" spans="1:2">
      <c r="A989" t="s">
        <v>569</v>
      </c>
      <c r="B989" t="s">
        <v>1766</v>
      </c>
    </row>
    <row r="990" spans="1:2">
      <c r="A990" t="s">
        <v>570</v>
      </c>
      <c r="B990" t="s">
        <v>1766</v>
      </c>
    </row>
    <row r="991" spans="1:2">
      <c r="A991" t="s">
        <v>571</v>
      </c>
      <c r="B991" t="s">
        <v>1766</v>
      </c>
    </row>
    <row r="992" spans="1:2">
      <c r="A992" t="s">
        <v>572</v>
      </c>
      <c r="B992" t="s">
        <v>1766</v>
      </c>
    </row>
    <row r="993" spans="1:2">
      <c r="A993" t="s">
        <v>573</v>
      </c>
      <c r="B993" t="s">
        <v>1766</v>
      </c>
    </row>
    <row r="994" spans="1:2">
      <c r="A994" t="s">
        <v>574</v>
      </c>
      <c r="B994" t="s">
        <v>1765</v>
      </c>
    </row>
    <row r="995" spans="1:2">
      <c r="A995" t="s">
        <v>575</v>
      </c>
      <c r="B995" t="s">
        <v>1766</v>
      </c>
    </row>
    <row r="996" spans="1:2">
      <c r="A996" t="s">
        <v>576</v>
      </c>
      <c r="B996" t="s">
        <v>1766</v>
      </c>
    </row>
    <row r="997" spans="1:2">
      <c r="A997" t="s">
        <v>577</v>
      </c>
      <c r="B997" t="s">
        <v>1766</v>
      </c>
    </row>
    <row r="998" spans="1:2">
      <c r="A998" t="s">
        <v>578</v>
      </c>
      <c r="B998" t="s">
        <v>1766</v>
      </c>
    </row>
    <row r="999" spans="1:2">
      <c r="A999" t="s">
        <v>579</v>
      </c>
      <c r="B999" t="s">
        <v>1766</v>
      </c>
    </row>
    <row r="1000" spans="1:2">
      <c r="A1000" t="s">
        <v>580</v>
      </c>
      <c r="B1000" t="s">
        <v>1766</v>
      </c>
    </row>
    <row r="1001" spans="1:2">
      <c r="A1001" t="s">
        <v>581</v>
      </c>
      <c r="B1001" t="s">
        <v>1766</v>
      </c>
    </row>
    <row r="1002" spans="1:2">
      <c r="A1002" t="s">
        <v>582</v>
      </c>
      <c r="B1002" t="s">
        <v>1876</v>
      </c>
    </row>
    <row r="1003" spans="1:2">
      <c r="A1003" t="s">
        <v>583</v>
      </c>
      <c r="B1003" t="s">
        <v>1769</v>
      </c>
    </row>
    <row r="1004" spans="1:2">
      <c r="A1004" t="s">
        <v>584</v>
      </c>
      <c r="B1004" t="s">
        <v>1769</v>
      </c>
    </row>
    <row r="1005" spans="1:2">
      <c r="A1005" t="s">
        <v>1745</v>
      </c>
      <c r="B1005" t="s">
        <v>1823</v>
      </c>
    </row>
    <row r="1006" spans="1:2">
      <c r="A1006" t="s">
        <v>1745</v>
      </c>
      <c r="B1006" t="s">
        <v>1765</v>
      </c>
    </row>
    <row r="1007" spans="1:2">
      <c r="A1007" t="s">
        <v>1745</v>
      </c>
      <c r="B1007" t="s">
        <v>1766</v>
      </c>
    </row>
    <row r="1010" spans="1:2">
      <c r="A1010" t="s">
        <v>602</v>
      </c>
      <c r="B1010" t="s">
        <v>1833</v>
      </c>
    </row>
    <row r="1011" spans="1:2">
      <c r="A1011" t="s">
        <v>602</v>
      </c>
      <c r="B1011" t="s">
        <v>1837</v>
      </c>
    </row>
    <row r="1012" spans="1:2">
      <c r="A1012" t="s">
        <v>609</v>
      </c>
      <c r="B1012" t="s">
        <v>1833</v>
      </c>
    </row>
    <row r="1013" spans="1:2">
      <c r="A1013" t="s">
        <v>609</v>
      </c>
      <c r="B1013" t="s">
        <v>1837</v>
      </c>
    </row>
    <row r="1014" spans="1:2">
      <c r="A1014" t="s">
        <v>612</v>
      </c>
      <c r="B1014" t="s">
        <v>1833</v>
      </c>
    </row>
    <row r="1015" spans="1:2">
      <c r="A1015" t="s">
        <v>612</v>
      </c>
      <c r="B1015" t="s">
        <v>1837</v>
      </c>
    </row>
    <row r="1016" spans="1:2">
      <c r="A1016" t="s">
        <v>615</v>
      </c>
      <c r="B1016" t="s">
        <v>1833</v>
      </c>
    </row>
    <row r="1017" spans="1:2">
      <c r="A1017" t="s">
        <v>615</v>
      </c>
      <c r="B1017" t="s">
        <v>1837</v>
      </c>
    </row>
    <row r="1018" spans="1:2">
      <c r="A1018" t="s">
        <v>618</v>
      </c>
      <c r="B1018" t="s">
        <v>1833</v>
      </c>
    </row>
    <row r="1019" spans="1:2">
      <c r="A1019" t="s">
        <v>618</v>
      </c>
      <c r="B1019" t="s">
        <v>1837</v>
      </c>
    </row>
    <row r="1020" spans="1:2">
      <c r="A1020" t="s">
        <v>621</v>
      </c>
      <c r="B1020" t="s">
        <v>1833</v>
      </c>
    </row>
    <row r="1021" spans="1:2">
      <c r="A1021" t="s">
        <v>621</v>
      </c>
      <c r="B1021" t="s">
        <v>1837</v>
      </c>
    </row>
    <row r="1022" spans="1:2">
      <c r="A1022" t="s">
        <v>624</v>
      </c>
      <c r="B1022" t="s">
        <v>1837</v>
      </c>
    </row>
    <row r="1023" spans="1:2">
      <c r="A1023" t="s">
        <v>627</v>
      </c>
      <c r="B1023" t="s">
        <v>1837</v>
      </c>
    </row>
    <row r="1024" spans="1:2">
      <c r="A1024" t="s">
        <v>630</v>
      </c>
      <c r="B1024" t="s">
        <v>1837</v>
      </c>
    </row>
    <row r="1025" spans="1:2">
      <c r="A1025" t="s">
        <v>633</v>
      </c>
      <c r="B1025" t="s">
        <v>1837</v>
      </c>
    </row>
    <row r="1026" spans="1:2">
      <c r="A1026" t="s">
        <v>636</v>
      </c>
      <c r="B1026" t="s">
        <v>1837</v>
      </c>
    </row>
    <row r="1027" spans="1:2">
      <c r="A1027" t="s">
        <v>639</v>
      </c>
      <c r="B1027" t="s">
        <v>1837</v>
      </c>
    </row>
    <row r="1028" spans="1:2">
      <c r="A1028" t="s">
        <v>642</v>
      </c>
      <c r="B1028" t="s">
        <v>1837</v>
      </c>
    </row>
    <row r="1029" spans="1:2">
      <c r="A1029" t="s">
        <v>645</v>
      </c>
      <c r="B1029" t="s">
        <v>1833</v>
      </c>
    </row>
    <row r="1030" spans="1:2">
      <c r="A1030" t="s">
        <v>645</v>
      </c>
      <c r="B1030" t="s">
        <v>1839</v>
      </c>
    </row>
    <row r="1031" spans="1:2">
      <c r="A1031" t="s">
        <v>649</v>
      </c>
      <c r="B1031" t="s">
        <v>1833</v>
      </c>
    </row>
    <row r="1032" spans="1:2">
      <c r="A1032" t="s">
        <v>649</v>
      </c>
      <c r="B1032" t="s">
        <v>1839</v>
      </c>
    </row>
    <row r="1033" spans="1:2">
      <c r="A1033" t="s">
        <v>652</v>
      </c>
      <c r="B1033" t="s">
        <v>1833</v>
      </c>
    </row>
    <row r="1034" spans="1:2">
      <c r="A1034" t="s">
        <v>652</v>
      </c>
      <c r="B1034" t="s">
        <v>1839</v>
      </c>
    </row>
    <row r="1035" spans="1:2">
      <c r="A1035" t="s">
        <v>655</v>
      </c>
      <c r="B1035" t="s">
        <v>1833</v>
      </c>
    </row>
    <row r="1036" spans="1:2">
      <c r="A1036" t="s">
        <v>655</v>
      </c>
      <c r="B1036" t="s">
        <v>1839</v>
      </c>
    </row>
    <row r="1037" spans="1:2">
      <c r="A1037" t="s">
        <v>658</v>
      </c>
      <c r="B1037" t="s">
        <v>1833</v>
      </c>
    </row>
    <row r="1038" spans="1:2">
      <c r="A1038" t="s">
        <v>658</v>
      </c>
      <c r="B1038" t="s">
        <v>1839</v>
      </c>
    </row>
    <row r="1039" spans="1:2">
      <c r="A1039" t="s">
        <v>661</v>
      </c>
      <c r="B1039" t="s">
        <v>1837</v>
      </c>
    </row>
    <row r="1040" spans="1:2">
      <c r="A1040" t="s">
        <v>664</v>
      </c>
      <c r="B1040" t="s">
        <v>1837</v>
      </c>
    </row>
    <row r="1041" spans="1:2">
      <c r="A1041" t="s">
        <v>667</v>
      </c>
      <c r="B1041" t="s">
        <v>1837</v>
      </c>
    </row>
    <row r="1042" spans="1:2">
      <c r="A1042" t="s">
        <v>669</v>
      </c>
      <c r="B1042" t="s">
        <v>1837</v>
      </c>
    </row>
    <row r="1043" spans="1:2">
      <c r="A1043" t="s">
        <v>671</v>
      </c>
      <c r="B1043" t="s">
        <v>1837</v>
      </c>
    </row>
    <row r="1044" spans="1:2">
      <c r="A1044" t="s">
        <v>674</v>
      </c>
      <c r="B1044" t="s">
        <v>1837</v>
      </c>
    </row>
    <row r="1045" spans="1:2">
      <c r="A1045" t="s">
        <v>677</v>
      </c>
      <c r="B1045" t="s">
        <v>1837</v>
      </c>
    </row>
    <row r="1046" spans="1:2">
      <c r="A1046" t="s">
        <v>680</v>
      </c>
      <c r="B1046" t="s">
        <v>1837</v>
      </c>
    </row>
    <row r="1047" spans="1:2">
      <c r="A1047" t="s">
        <v>683</v>
      </c>
      <c r="B1047" t="s">
        <v>1847</v>
      </c>
    </row>
    <row r="1048" spans="1:2">
      <c r="A1048" t="s">
        <v>687</v>
      </c>
      <c r="B1048" t="s">
        <v>1847</v>
      </c>
    </row>
    <row r="1049" spans="1:2">
      <c r="A1049" t="s">
        <v>690</v>
      </c>
      <c r="B1049" t="s">
        <v>1847</v>
      </c>
    </row>
    <row r="1050" spans="1:2">
      <c r="A1050" t="s">
        <v>693</v>
      </c>
      <c r="B1050" t="s">
        <v>1847</v>
      </c>
    </row>
    <row r="1051" spans="1:2">
      <c r="A1051" t="s">
        <v>696</v>
      </c>
      <c r="B1051" t="s">
        <v>1847</v>
      </c>
    </row>
    <row r="1052" spans="1:2">
      <c r="A1052" t="s">
        <v>698</v>
      </c>
      <c r="B1052" t="s">
        <v>1847</v>
      </c>
    </row>
    <row r="1053" spans="1:2">
      <c r="A1053" t="s">
        <v>701</v>
      </c>
      <c r="B1053" t="s">
        <v>1847</v>
      </c>
    </row>
    <row r="1054" spans="1:2">
      <c r="A1054" t="s">
        <v>704</v>
      </c>
      <c r="B1054" t="s">
        <v>1847</v>
      </c>
    </row>
    <row r="1055" spans="1:2">
      <c r="A1055" t="s">
        <v>707</v>
      </c>
      <c r="B1055" t="s">
        <v>1847</v>
      </c>
    </row>
    <row r="1056" spans="1:2">
      <c r="A1056" t="s">
        <v>710</v>
      </c>
      <c r="B1056" t="s">
        <v>1847</v>
      </c>
    </row>
    <row r="1057" spans="1:2">
      <c r="A1057" t="s">
        <v>713</v>
      </c>
      <c r="B1057" t="s">
        <v>1847</v>
      </c>
    </row>
    <row r="1058" spans="1:2">
      <c r="A1058" t="s">
        <v>715</v>
      </c>
      <c r="B1058" t="s">
        <v>1847</v>
      </c>
    </row>
    <row r="1059" spans="1:2">
      <c r="A1059" t="s">
        <v>718</v>
      </c>
      <c r="B1059" t="s">
        <v>1847</v>
      </c>
    </row>
    <row r="1060" spans="1:2">
      <c r="A1060" t="s">
        <v>721</v>
      </c>
      <c r="B1060" t="s">
        <v>1849</v>
      </c>
    </row>
    <row r="1061" spans="1:2">
      <c r="A1061" t="s">
        <v>724</v>
      </c>
      <c r="B1061" t="s">
        <v>1833</v>
      </c>
    </row>
    <row r="1062" spans="1:2">
      <c r="A1062" t="s">
        <v>724</v>
      </c>
      <c r="B1062" t="s">
        <v>1847</v>
      </c>
    </row>
    <row r="1063" spans="1:2">
      <c r="A1063" t="s">
        <v>724</v>
      </c>
      <c r="B1063" t="s">
        <v>1849</v>
      </c>
    </row>
    <row r="1064" spans="1:2">
      <c r="A1064" t="s">
        <v>727</v>
      </c>
      <c r="B1064" t="s">
        <v>1847</v>
      </c>
    </row>
    <row r="1065" spans="1:2">
      <c r="A1065" t="s">
        <v>729</v>
      </c>
      <c r="B1065" t="s">
        <v>1847</v>
      </c>
    </row>
    <row r="1066" spans="1:2">
      <c r="A1066" t="s">
        <v>732</v>
      </c>
      <c r="B1066" t="s">
        <v>1847</v>
      </c>
    </row>
    <row r="1067" spans="1:2">
      <c r="A1067" t="s">
        <v>735</v>
      </c>
      <c r="B1067" t="s">
        <v>1847</v>
      </c>
    </row>
    <row r="1068" spans="1:2">
      <c r="A1068" t="s">
        <v>738</v>
      </c>
      <c r="B1068" t="s">
        <v>1847</v>
      </c>
    </row>
    <row r="1069" spans="1:2">
      <c r="A1069" t="s">
        <v>741</v>
      </c>
      <c r="B1069" t="s">
        <v>1847</v>
      </c>
    </row>
    <row r="1070" spans="1:2">
      <c r="A1070" t="s">
        <v>744</v>
      </c>
      <c r="B1070" t="s">
        <v>1847</v>
      </c>
    </row>
    <row r="1071" spans="1:2">
      <c r="A1071" t="s">
        <v>747</v>
      </c>
      <c r="B1071" t="s">
        <v>1847</v>
      </c>
    </row>
    <row r="1072" spans="1:2">
      <c r="A1072" t="s">
        <v>750</v>
      </c>
      <c r="B1072" t="s">
        <v>1847</v>
      </c>
    </row>
    <row r="1073" spans="1:2">
      <c r="A1073" t="s">
        <v>753</v>
      </c>
      <c r="B1073" t="s">
        <v>1847</v>
      </c>
    </row>
    <row r="1074" spans="1:2">
      <c r="A1074" t="s">
        <v>756</v>
      </c>
      <c r="B1074" t="s">
        <v>1847</v>
      </c>
    </row>
    <row r="1075" spans="1:2">
      <c r="A1075" t="s">
        <v>759</v>
      </c>
      <c r="B1075" t="s">
        <v>1847</v>
      </c>
    </row>
    <row r="1076" spans="1:2">
      <c r="A1076" t="s">
        <v>762</v>
      </c>
      <c r="B1076" t="s">
        <v>1847</v>
      </c>
    </row>
    <row r="1077" spans="1:2">
      <c r="A1077" t="s">
        <v>765</v>
      </c>
      <c r="B1077" t="s">
        <v>1847</v>
      </c>
    </row>
    <row r="1078" spans="1:2">
      <c r="A1078" t="s">
        <v>768</v>
      </c>
      <c r="B1078" t="s">
        <v>1847</v>
      </c>
    </row>
    <row r="1079" spans="1:2">
      <c r="A1079" t="s">
        <v>771</v>
      </c>
      <c r="B1079" t="s">
        <v>1847</v>
      </c>
    </row>
    <row r="1080" spans="1:2">
      <c r="A1080" t="s">
        <v>774</v>
      </c>
      <c r="B1080" t="s">
        <v>1847</v>
      </c>
    </row>
    <row r="1081" spans="1:2">
      <c r="A1081" t="s">
        <v>777</v>
      </c>
      <c r="B1081" t="s">
        <v>1847</v>
      </c>
    </row>
    <row r="1082" spans="1:2">
      <c r="A1082" t="s">
        <v>780</v>
      </c>
      <c r="B1082" t="s">
        <v>1847</v>
      </c>
    </row>
    <row r="1083" spans="1:2">
      <c r="A1083" t="s">
        <v>783</v>
      </c>
      <c r="B1083" t="s">
        <v>1849</v>
      </c>
    </row>
    <row r="1084" spans="1:2">
      <c r="A1084" t="s">
        <v>786</v>
      </c>
      <c r="B1084" t="s">
        <v>1849</v>
      </c>
    </row>
    <row r="1085" spans="1:2">
      <c r="A1085" t="s">
        <v>789</v>
      </c>
      <c r="B1085" t="s">
        <v>1853</v>
      </c>
    </row>
    <row r="1086" spans="1:2">
      <c r="A1086" t="s">
        <v>792</v>
      </c>
      <c r="B1086" t="s">
        <v>1853</v>
      </c>
    </row>
    <row r="1087" spans="1:2">
      <c r="A1087" t="s">
        <v>794</v>
      </c>
      <c r="B1087" t="s">
        <v>1855</v>
      </c>
    </row>
    <row r="1088" spans="1:2">
      <c r="A1088" t="s">
        <v>797</v>
      </c>
      <c r="B1088" t="s">
        <v>1855</v>
      </c>
    </row>
    <row r="1089" spans="1:2">
      <c r="A1089" t="s">
        <v>800</v>
      </c>
      <c r="B1089" t="s">
        <v>1855</v>
      </c>
    </row>
    <row r="1090" spans="1:2">
      <c r="A1090" t="s">
        <v>803</v>
      </c>
      <c r="B1090" t="s">
        <v>1853</v>
      </c>
    </row>
    <row r="1091" spans="1:2">
      <c r="A1091" t="s">
        <v>805</v>
      </c>
      <c r="B1091" t="s">
        <v>1853</v>
      </c>
    </row>
    <row r="1092" spans="1:2">
      <c r="A1092" t="s">
        <v>808</v>
      </c>
      <c r="B1092" t="s">
        <v>1853</v>
      </c>
    </row>
    <row r="1093" spans="1:2">
      <c r="A1093" t="s">
        <v>810</v>
      </c>
      <c r="B1093" t="s">
        <v>1853</v>
      </c>
    </row>
    <row r="1094" spans="1:2">
      <c r="A1094" t="s">
        <v>812</v>
      </c>
      <c r="B1094" t="s">
        <v>1855</v>
      </c>
    </row>
    <row r="1095" spans="1:2">
      <c r="A1095" t="s">
        <v>815</v>
      </c>
      <c r="B1095" t="s">
        <v>1853</v>
      </c>
    </row>
    <row r="1096" spans="1:2">
      <c r="A1096" t="s">
        <v>817</v>
      </c>
      <c r="B1096" t="s">
        <v>1857</v>
      </c>
    </row>
    <row r="1097" spans="1:2">
      <c r="A1097" t="s">
        <v>820</v>
      </c>
      <c r="B1097" t="s">
        <v>1847</v>
      </c>
    </row>
    <row r="1098" spans="1:2">
      <c r="A1098" t="s">
        <v>823</v>
      </c>
      <c r="B1098" t="s">
        <v>1847</v>
      </c>
    </row>
    <row r="1099" spans="1:2">
      <c r="A1099" t="s">
        <v>826</v>
      </c>
      <c r="B1099" t="s">
        <v>1849</v>
      </c>
    </row>
    <row r="1100" spans="1:2">
      <c r="A1100" t="s">
        <v>829</v>
      </c>
      <c r="B1100" t="s">
        <v>1849</v>
      </c>
    </row>
    <row r="1101" spans="1:2">
      <c r="A1101" t="s">
        <v>829</v>
      </c>
      <c r="B1101" t="s">
        <v>1851</v>
      </c>
    </row>
    <row r="1102" spans="1:2">
      <c r="A1102" t="s">
        <v>832</v>
      </c>
      <c r="B1102" t="s">
        <v>1847</v>
      </c>
    </row>
    <row r="1103" spans="1:2">
      <c r="A1103" t="s">
        <v>834</v>
      </c>
      <c r="B1103" t="s">
        <v>1849</v>
      </c>
    </row>
    <row r="1104" spans="1:2">
      <c r="A1104" t="s">
        <v>834</v>
      </c>
      <c r="B1104" t="s">
        <v>1851</v>
      </c>
    </row>
    <row r="1105" spans="1:2">
      <c r="A1105" t="s">
        <v>837</v>
      </c>
      <c r="B1105" t="s">
        <v>1849</v>
      </c>
    </row>
    <row r="1106" spans="1:2">
      <c r="A1106" t="s">
        <v>837</v>
      </c>
      <c r="B1106" t="s">
        <v>1851</v>
      </c>
    </row>
    <row r="1107" spans="1:2">
      <c r="A1107" t="s">
        <v>840</v>
      </c>
      <c r="B1107" t="s">
        <v>1849</v>
      </c>
    </row>
    <row r="1108" spans="1:2">
      <c r="A1108" t="s">
        <v>840</v>
      </c>
      <c r="B1108" t="s">
        <v>1851</v>
      </c>
    </row>
    <row r="1109" spans="1:2">
      <c r="A1109" t="s">
        <v>843</v>
      </c>
      <c r="B1109" t="s">
        <v>1849</v>
      </c>
    </row>
    <row r="1110" spans="1:2">
      <c r="A1110" t="s">
        <v>843</v>
      </c>
      <c r="B1110" t="s">
        <v>1851</v>
      </c>
    </row>
    <row r="1111" spans="1:2">
      <c r="A1111" t="s">
        <v>846</v>
      </c>
      <c r="B1111" t="s">
        <v>1849</v>
      </c>
    </row>
    <row r="1112" spans="1:2">
      <c r="A1112" t="s">
        <v>846</v>
      </c>
      <c r="B1112" t="s">
        <v>1851</v>
      </c>
    </row>
    <row r="1113" spans="1:2">
      <c r="A1113" t="s">
        <v>849</v>
      </c>
      <c r="B1113" t="s">
        <v>1849</v>
      </c>
    </row>
    <row r="1114" spans="1:2">
      <c r="A1114" t="s">
        <v>849</v>
      </c>
      <c r="B1114" t="s">
        <v>1851</v>
      </c>
    </row>
    <row r="1115" spans="1:2">
      <c r="A1115" t="s">
        <v>852</v>
      </c>
      <c r="B1115" t="s">
        <v>1849</v>
      </c>
    </row>
    <row r="1116" spans="1:2">
      <c r="A1116" t="s">
        <v>852</v>
      </c>
      <c r="B1116" t="s">
        <v>1851</v>
      </c>
    </row>
    <row r="1117" spans="1:2">
      <c r="A1117" t="s">
        <v>855</v>
      </c>
      <c r="B1117" t="s">
        <v>1849</v>
      </c>
    </row>
    <row r="1118" spans="1:2">
      <c r="A1118" t="s">
        <v>855</v>
      </c>
      <c r="B1118" t="s">
        <v>1851</v>
      </c>
    </row>
    <row r="1119" spans="1:2">
      <c r="A1119" t="s">
        <v>858</v>
      </c>
      <c r="B1119" t="s">
        <v>1849</v>
      </c>
    </row>
    <row r="1120" spans="1:2">
      <c r="A1120" t="s">
        <v>858</v>
      </c>
      <c r="B1120" t="s">
        <v>1851</v>
      </c>
    </row>
  </sheetData>
  <dataValidations count="4">
    <dataValidation type="list" allowBlank="1" showInputMessage="1" showErrorMessage="1" sqref="A1123:A1048576" xr:uid="{00000000-0002-0000-0300-000000000000}">
      <formula1>INDIRECT("Recs[Text]")</formula1>
    </dataValidation>
    <dataValidation type="list" allowBlank="1" showInputMessage="1" showErrorMessage="1" sqref="B1171:B1048576" xr:uid="{00000000-0002-0000-0300-000001000000}">
      <formula1>INDIRECT("Spks[Speaker]")</formula1>
    </dataValidation>
    <dataValidation type="list" allowBlank="1" showInputMessage="1" showErrorMessage="1" sqref="B2:B1126" xr:uid="{00000000-0002-0000-0300-000002000000}">
      <formula1>INDIRECT("Spkrs[Speaker]")</formula1>
    </dataValidation>
    <dataValidation type="list" allowBlank="1" showInputMessage="1" showErrorMessage="1" sqref="A2:A1122" xr:uid="{00000000-0002-0000-0300-000003000000}">
      <formula1>INDIRECT("Rcrdngs[Text]")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17"/>
  <sheetViews>
    <sheetView topLeftCell="A587" workbookViewId="0">
      <selection activeCell="A610" sqref="A610"/>
    </sheetView>
  </sheetViews>
  <sheetFormatPr defaultColWidth="8.7109375" defaultRowHeight="14.45"/>
  <cols>
    <col min="1" max="1" width="32.5703125" customWidth="1"/>
    <col min="2" max="2" width="36.5703125" customWidth="1"/>
  </cols>
  <sheetData>
    <row r="1" spans="1:2">
      <c r="A1" t="s">
        <v>1886</v>
      </c>
      <c r="B1" t="s">
        <v>1887</v>
      </c>
    </row>
    <row r="2" spans="1:2">
      <c r="A2" s="27" t="s">
        <v>1888</v>
      </c>
    </row>
    <row r="3" spans="1:2">
      <c r="A3" s="27" t="s">
        <v>1889</v>
      </c>
    </row>
    <row r="4" spans="1:2">
      <c r="A4" s="28" t="s">
        <v>1890</v>
      </c>
    </row>
    <row r="5" spans="1:2">
      <c r="A5" s="28" t="s">
        <v>1891</v>
      </c>
    </row>
    <row r="6" spans="1:2">
      <c r="A6" s="28" t="s">
        <v>1892</v>
      </c>
    </row>
    <row r="7" spans="1:2">
      <c r="A7" s="28" t="s">
        <v>1893</v>
      </c>
    </row>
    <row r="8" spans="1:2">
      <c r="A8" s="28" t="s">
        <v>1894</v>
      </c>
    </row>
    <row r="9" spans="1:2">
      <c r="A9" s="28" t="s">
        <v>1895</v>
      </c>
    </row>
    <row r="10" spans="1:2">
      <c r="A10" s="28" t="s">
        <v>1896</v>
      </c>
    </row>
    <row r="11" spans="1:2">
      <c r="A11" s="28" t="s">
        <v>1897</v>
      </c>
    </row>
    <row r="12" spans="1:2" ht="15">
      <c r="A12" s="28" t="s">
        <v>1898</v>
      </c>
    </row>
    <row r="13" spans="1:2" ht="15">
      <c r="A13" s="27" t="s">
        <v>1899</v>
      </c>
    </row>
    <row r="14" spans="1:2" ht="15">
      <c r="A14" s="28" t="s">
        <v>1900</v>
      </c>
    </row>
    <row r="15" spans="1:2" ht="15">
      <c r="A15" s="28" t="s">
        <v>1901</v>
      </c>
    </row>
    <row r="16" spans="1:2" ht="15">
      <c r="A16" s="28" t="s">
        <v>1902</v>
      </c>
    </row>
    <row r="17" spans="1:1" ht="15">
      <c r="A17" s="28" t="s">
        <v>1903</v>
      </c>
    </row>
    <row r="18" spans="1:1" ht="15">
      <c r="A18" s="28" t="s">
        <v>1904</v>
      </c>
    </row>
    <row r="19" spans="1:1" ht="15">
      <c r="A19" s="9" t="s">
        <v>1905</v>
      </c>
    </row>
    <row r="20" spans="1:1" ht="15">
      <c r="A20" s="28" t="s">
        <v>1906</v>
      </c>
    </row>
    <row r="21" spans="1:1" ht="15">
      <c r="A21" s="28" t="s">
        <v>1907</v>
      </c>
    </row>
    <row r="22" spans="1:1" ht="15">
      <c r="A22" s="27" t="s">
        <v>1908</v>
      </c>
    </row>
    <row r="23" spans="1:1" ht="15">
      <c r="A23" s="28" t="s">
        <v>1909</v>
      </c>
    </row>
    <row r="24" spans="1:1" ht="15">
      <c r="A24" s="27" t="s">
        <v>1910</v>
      </c>
    </row>
    <row r="25" spans="1:1" ht="15">
      <c r="A25" s="28" t="s">
        <v>1911</v>
      </c>
    </row>
    <row r="26" spans="1:1" ht="15">
      <c r="A26" s="28" t="s">
        <v>1912</v>
      </c>
    </row>
    <row r="27" spans="1:1" ht="15">
      <c r="A27" s="28" t="s">
        <v>1913</v>
      </c>
    </row>
    <row r="28" spans="1:1" ht="15">
      <c r="A28" s="28" t="s">
        <v>1914</v>
      </c>
    </row>
    <row r="29" spans="1:1" ht="15">
      <c r="A29" s="28" t="s">
        <v>1915</v>
      </c>
    </row>
    <row r="30" spans="1:1" ht="15">
      <c r="A30" s="27" t="s">
        <v>1916</v>
      </c>
    </row>
    <row r="31" spans="1:1" ht="15">
      <c r="A31" s="27" t="s">
        <v>1917</v>
      </c>
    </row>
    <row r="32" spans="1:1" ht="15">
      <c r="A32" s="6" t="s">
        <v>1918</v>
      </c>
    </row>
    <row r="33" spans="1:1" ht="15">
      <c r="A33" s="27" t="s">
        <v>1919</v>
      </c>
    </row>
    <row r="34" spans="1:1" ht="15">
      <c r="A34" s="27" t="s">
        <v>1920</v>
      </c>
    </row>
    <row r="35" spans="1:1" ht="15">
      <c r="A35" s="27" t="s">
        <v>1921</v>
      </c>
    </row>
    <row r="36" spans="1:1" ht="15">
      <c r="A36" s="27" t="s">
        <v>1922</v>
      </c>
    </row>
    <row r="37" spans="1:1" ht="15">
      <c r="A37" s="27" t="s">
        <v>1923</v>
      </c>
    </row>
    <row r="38" spans="1:1" ht="15">
      <c r="A38" s="6" t="s">
        <v>1924</v>
      </c>
    </row>
    <row r="39" spans="1:1" ht="15">
      <c r="A39" s="27" t="s">
        <v>1925</v>
      </c>
    </row>
    <row r="40" spans="1:1" ht="15">
      <c r="A40" s="27" t="s">
        <v>1926</v>
      </c>
    </row>
    <row r="41" spans="1:1" ht="15">
      <c r="A41" s="27" t="s">
        <v>1927</v>
      </c>
    </row>
    <row r="42" spans="1:1" ht="15">
      <c r="A42" s="27" t="s">
        <v>1928</v>
      </c>
    </row>
    <row r="43" spans="1:1" ht="15">
      <c r="A43" s="27" t="s">
        <v>1929</v>
      </c>
    </row>
    <row r="44" spans="1:1" ht="15">
      <c r="A44" s="27" t="s">
        <v>1930</v>
      </c>
    </row>
    <row r="45" spans="1:1" ht="15">
      <c r="A45" s="27" t="s">
        <v>1931</v>
      </c>
    </row>
    <row r="46" spans="1:1" ht="15">
      <c r="A46" s="27" t="s">
        <v>1932</v>
      </c>
    </row>
    <row r="47" spans="1:1" ht="15">
      <c r="A47" s="27" t="s">
        <v>1933</v>
      </c>
    </row>
    <row r="48" spans="1:1" ht="15">
      <c r="A48" s="27" t="s">
        <v>1934</v>
      </c>
    </row>
    <row r="49" spans="1:1" ht="15">
      <c r="A49" s="27" t="s">
        <v>1935</v>
      </c>
    </row>
    <row r="50" spans="1:1" ht="15">
      <c r="A50" s="27" t="s">
        <v>1936</v>
      </c>
    </row>
    <row r="51" spans="1:1" ht="15">
      <c r="A51" s="27" t="s">
        <v>1937</v>
      </c>
    </row>
    <row r="52" spans="1:1" ht="15">
      <c r="A52" s="27" t="s">
        <v>1938</v>
      </c>
    </row>
    <row r="53" spans="1:1" ht="15">
      <c r="A53" s="27" t="s">
        <v>1939</v>
      </c>
    </row>
    <row r="54" spans="1:1" ht="15">
      <c r="A54" s="27" t="s">
        <v>1940</v>
      </c>
    </row>
    <row r="55" spans="1:1" ht="15">
      <c r="A55" s="27" t="s">
        <v>1941</v>
      </c>
    </row>
    <row r="56" spans="1:1" ht="15">
      <c r="A56" s="27" t="s">
        <v>1942</v>
      </c>
    </row>
    <row r="57" spans="1:1" ht="15">
      <c r="A57" s="27" t="s">
        <v>1943</v>
      </c>
    </row>
    <row r="58" spans="1:1" ht="15">
      <c r="A58" s="27" t="s">
        <v>1944</v>
      </c>
    </row>
    <row r="59" spans="1:1" ht="15">
      <c r="A59" s="27" t="s">
        <v>1945</v>
      </c>
    </row>
    <row r="60" spans="1:1" ht="15">
      <c r="A60" s="27" t="s">
        <v>1946</v>
      </c>
    </row>
    <row r="61" spans="1:1" ht="15">
      <c r="A61" s="27" t="s">
        <v>1947</v>
      </c>
    </row>
    <row r="62" spans="1:1" ht="15">
      <c r="A62" s="27" t="s">
        <v>1948</v>
      </c>
    </row>
    <row r="63" spans="1:1" ht="15">
      <c r="A63" s="27" t="s">
        <v>1949</v>
      </c>
    </row>
    <row r="64" spans="1:1" ht="15">
      <c r="A64" s="27" t="s">
        <v>1950</v>
      </c>
    </row>
    <row r="65" spans="1:1" ht="15">
      <c r="A65" s="27" t="s">
        <v>1951</v>
      </c>
    </row>
    <row r="66" spans="1:1" ht="15">
      <c r="A66" s="27" t="s">
        <v>1952</v>
      </c>
    </row>
    <row r="67" spans="1:1" ht="15">
      <c r="A67" s="27" t="s">
        <v>1953</v>
      </c>
    </row>
    <row r="68" spans="1:1" ht="15">
      <c r="A68" s="27" t="s">
        <v>1954</v>
      </c>
    </row>
    <row r="69" spans="1:1" ht="15">
      <c r="A69" s="27" t="s">
        <v>1955</v>
      </c>
    </row>
    <row r="70" spans="1:1" ht="15">
      <c r="A70" s="27" t="s">
        <v>1956</v>
      </c>
    </row>
    <row r="71" spans="1:1" ht="15">
      <c r="A71" s="27" t="s">
        <v>1957</v>
      </c>
    </row>
    <row r="72" spans="1:1" ht="15">
      <c r="A72" s="27" t="s">
        <v>1958</v>
      </c>
    </row>
    <row r="73" spans="1:1" ht="15">
      <c r="A73" s="27" t="s">
        <v>1959</v>
      </c>
    </row>
    <row r="74" spans="1:1" ht="15">
      <c r="A74" s="27" t="s">
        <v>1960</v>
      </c>
    </row>
    <row r="75" spans="1:1" ht="15">
      <c r="A75" s="27" t="s">
        <v>1961</v>
      </c>
    </row>
    <row r="76" spans="1:1" ht="15">
      <c r="A76" s="27" t="s">
        <v>1962</v>
      </c>
    </row>
    <row r="77" spans="1:1" ht="15">
      <c r="A77" s="27" t="s">
        <v>1963</v>
      </c>
    </row>
    <row r="78" spans="1:1" ht="15">
      <c r="A78" s="27" t="s">
        <v>1964</v>
      </c>
    </row>
    <row r="79" spans="1:1" ht="15">
      <c r="A79" s="27" t="s">
        <v>1965</v>
      </c>
    </row>
    <row r="80" spans="1:1" ht="15">
      <c r="A80" s="27" t="s">
        <v>1966</v>
      </c>
    </row>
    <row r="81" spans="1:1" ht="15">
      <c r="A81" s="27" t="s">
        <v>1967</v>
      </c>
    </row>
    <row r="82" spans="1:1" ht="15">
      <c r="A82" s="27" t="s">
        <v>1968</v>
      </c>
    </row>
    <row r="83" spans="1:1" ht="15">
      <c r="A83" s="27" t="s">
        <v>1969</v>
      </c>
    </row>
    <row r="84" spans="1:1" ht="15">
      <c r="A84" s="27" t="s">
        <v>1970</v>
      </c>
    </row>
    <row r="85" spans="1:1" ht="15">
      <c r="A85" s="28" t="s">
        <v>1971</v>
      </c>
    </row>
    <row r="86" spans="1:1" ht="15">
      <c r="A86" s="27" t="s">
        <v>1972</v>
      </c>
    </row>
    <row r="87" spans="1:1" ht="15">
      <c r="A87" s="27" t="s">
        <v>1973</v>
      </c>
    </row>
    <row r="88" spans="1:1" ht="15">
      <c r="A88" s="27" t="s">
        <v>1974</v>
      </c>
    </row>
    <row r="89" spans="1:1" ht="15">
      <c r="A89" s="27" t="s">
        <v>1975</v>
      </c>
    </row>
    <row r="90" spans="1:1" ht="15">
      <c r="A90" s="27" t="s">
        <v>1976</v>
      </c>
    </row>
    <row r="91" spans="1:1" ht="15">
      <c r="A91" s="27" t="s">
        <v>1977</v>
      </c>
    </row>
    <row r="92" spans="1:1" ht="15">
      <c r="A92" s="27" t="s">
        <v>1978</v>
      </c>
    </row>
    <row r="93" spans="1:1" ht="15">
      <c r="A93" s="27" t="s">
        <v>1979</v>
      </c>
    </row>
    <row r="94" spans="1:1" ht="15">
      <c r="A94" s="27" t="s">
        <v>1980</v>
      </c>
    </row>
    <row r="95" spans="1:1" ht="15">
      <c r="A95" s="27" t="s">
        <v>1981</v>
      </c>
    </row>
    <row r="96" spans="1:1" ht="15">
      <c r="A96" s="27" t="s">
        <v>1982</v>
      </c>
    </row>
    <row r="97" spans="1:1" ht="15">
      <c r="A97" s="6" t="s">
        <v>1983</v>
      </c>
    </row>
    <row r="98" spans="1:1" ht="15">
      <c r="A98" s="27" t="s">
        <v>1984</v>
      </c>
    </row>
    <row r="99" spans="1:1" ht="15">
      <c r="A99" s="27" t="s">
        <v>1985</v>
      </c>
    </row>
    <row r="100" spans="1:1" ht="15">
      <c r="A100" s="27" t="s">
        <v>1986</v>
      </c>
    </row>
    <row r="101" spans="1:1" ht="15">
      <c r="A101" s="27" t="s">
        <v>1987</v>
      </c>
    </row>
    <row r="102" spans="1:1" ht="15">
      <c r="A102" s="27" t="s">
        <v>1988</v>
      </c>
    </row>
    <row r="103" spans="1:1" ht="15">
      <c r="A103" s="27" t="s">
        <v>1989</v>
      </c>
    </row>
    <row r="104" spans="1:1" ht="15">
      <c r="A104" s="27" t="s">
        <v>1990</v>
      </c>
    </row>
    <row r="105" spans="1:1" ht="15">
      <c r="A105" s="27" t="s">
        <v>1991</v>
      </c>
    </row>
    <row r="106" spans="1:1" ht="15">
      <c r="A106" s="27" t="s">
        <v>1992</v>
      </c>
    </row>
    <row r="107" spans="1:1" ht="15">
      <c r="A107" s="27" t="s">
        <v>1993</v>
      </c>
    </row>
    <row r="108" spans="1:1" ht="15">
      <c r="A108" s="27" t="s">
        <v>1994</v>
      </c>
    </row>
    <row r="109" spans="1:1" ht="15">
      <c r="A109" s="27" t="s">
        <v>1995</v>
      </c>
    </row>
    <row r="110" spans="1:1" ht="15">
      <c r="A110" s="6" t="s">
        <v>1996</v>
      </c>
    </row>
    <row r="111" spans="1:1" ht="15">
      <c r="A111" s="27" t="s">
        <v>1997</v>
      </c>
    </row>
    <row r="112" spans="1:1" ht="15">
      <c r="A112" s="27" t="s">
        <v>1998</v>
      </c>
    </row>
    <row r="113" spans="1:1" ht="15">
      <c r="A113" s="27" t="s">
        <v>1999</v>
      </c>
    </row>
    <row r="114" spans="1:1" ht="15">
      <c r="A114" s="27" t="s">
        <v>2000</v>
      </c>
    </row>
    <row r="115" spans="1:1" ht="15">
      <c r="A115" s="27" t="s">
        <v>2001</v>
      </c>
    </row>
    <row r="116" spans="1:1" ht="15">
      <c r="A116" s="27" t="s">
        <v>2002</v>
      </c>
    </row>
    <row r="117" spans="1:1" ht="15">
      <c r="A117" s="27" t="s">
        <v>2003</v>
      </c>
    </row>
    <row r="118" spans="1:1" ht="15">
      <c r="A118" s="27" t="s">
        <v>2004</v>
      </c>
    </row>
    <row r="119" spans="1:1" ht="15">
      <c r="A119" s="27" t="s">
        <v>2005</v>
      </c>
    </row>
    <row r="120" spans="1:1" ht="15">
      <c r="A120" s="27" t="s">
        <v>2006</v>
      </c>
    </row>
    <row r="121" spans="1:1" ht="15">
      <c r="A121" s="27" t="s">
        <v>2007</v>
      </c>
    </row>
    <row r="122" spans="1:1" ht="15">
      <c r="A122" s="27" t="s">
        <v>2008</v>
      </c>
    </row>
    <row r="123" spans="1:1" ht="15">
      <c r="A123" s="27" t="s">
        <v>2009</v>
      </c>
    </row>
    <row r="124" spans="1:1" ht="15">
      <c r="A124" s="27" t="s">
        <v>2010</v>
      </c>
    </row>
    <row r="125" spans="1:1" ht="15">
      <c r="A125" s="27" t="s">
        <v>2011</v>
      </c>
    </row>
    <row r="126" spans="1:1" ht="15">
      <c r="A126" s="27" t="s">
        <v>2012</v>
      </c>
    </row>
    <row r="127" spans="1:1" ht="15">
      <c r="A127" s="27" t="s">
        <v>2013</v>
      </c>
    </row>
    <row r="128" spans="1:1" ht="15">
      <c r="A128" s="27" t="s">
        <v>2014</v>
      </c>
    </row>
    <row r="129" spans="1:1" ht="15">
      <c r="A129" s="27" t="s">
        <v>2015</v>
      </c>
    </row>
    <row r="130" spans="1:1" ht="15">
      <c r="A130" s="27" t="s">
        <v>2016</v>
      </c>
    </row>
    <row r="131" spans="1:1" ht="15">
      <c r="A131" s="27" t="s">
        <v>2017</v>
      </c>
    </row>
    <row r="132" spans="1:1" ht="15">
      <c r="A132" s="27" t="s">
        <v>2018</v>
      </c>
    </row>
    <row r="133" spans="1:1" ht="15">
      <c r="A133" s="27" t="s">
        <v>2019</v>
      </c>
    </row>
    <row r="134" spans="1:1" ht="15">
      <c r="A134" s="27" t="s">
        <v>2020</v>
      </c>
    </row>
    <row r="135" spans="1:1" ht="15">
      <c r="A135" s="27" t="s">
        <v>2021</v>
      </c>
    </row>
    <row r="136" spans="1:1" ht="15">
      <c r="A136" s="27" t="s">
        <v>2022</v>
      </c>
    </row>
    <row r="137" spans="1:1" ht="15">
      <c r="A137" s="27" t="s">
        <v>2023</v>
      </c>
    </row>
    <row r="138" spans="1:1" ht="15">
      <c r="A138" s="27" t="s">
        <v>2024</v>
      </c>
    </row>
    <row r="139" spans="1:1" ht="15">
      <c r="A139" s="27" t="s">
        <v>2025</v>
      </c>
    </row>
    <row r="140" spans="1:1" ht="15">
      <c r="A140" s="27" t="s">
        <v>2026</v>
      </c>
    </row>
    <row r="141" spans="1:1" ht="15">
      <c r="A141" s="27" t="s">
        <v>2027</v>
      </c>
    </row>
    <row r="142" spans="1:1" ht="15">
      <c r="A142" s="27" t="s">
        <v>2028</v>
      </c>
    </row>
    <row r="143" spans="1:1" ht="15">
      <c r="A143" s="27" t="s">
        <v>2029</v>
      </c>
    </row>
    <row r="144" spans="1:1" ht="15">
      <c r="A144" s="27" t="s">
        <v>2030</v>
      </c>
    </row>
    <row r="145" spans="1:1" ht="15">
      <c r="A145" s="27" t="s">
        <v>2031</v>
      </c>
    </row>
    <row r="146" spans="1:1" ht="15">
      <c r="A146" s="6" t="s">
        <v>2032</v>
      </c>
    </row>
    <row r="147" spans="1:1" ht="15">
      <c r="A147" s="27" t="s">
        <v>2033</v>
      </c>
    </row>
    <row r="148" spans="1:1" ht="15">
      <c r="A148" s="27" t="s">
        <v>2034</v>
      </c>
    </row>
    <row r="149" spans="1:1" ht="15">
      <c r="A149" s="27" t="s">
        <v>2035</v>
      </c>
    </row>
    <row r="150" spans="1:1" ht="15">
      <c r="A150" s="27" t="s">
        <v>2036</v>
      </c>
    </row>
    <row r="151" spans="1:1" ht="15">
      <c r="A151" s="27" t="s">
        <v>2037</v>
      </c>
    </row>
    <row r="152" spans="1:1" ht="15">
      <c r="A152" s="27" t="s">
        <v>2038</v>
      </c>
    </row>
    <row r="153" spans="1:1" ht="15">
      <c r="A153" s="27" t="s">
        <v>2039</v>
      </c>
    </row>
    <row r="154" spans="1:1" ht="15">
      <c r="A154" s="27" t="s">
        <v>2040</v>
      </c>
    </row>
    <row r="155" spans="1:1" ht="15">
      <c r="A155" s="6" t="s">
        <v>2041</v>
      </c>
    </row>
    <row r="156" spans="1:1" ht="15">
      <c r="A156" s="27" t="s">
        <v>2042</v>
      </c>
    </row>
    <row r="157" spans="1:1" ht="15">
      <c r="A157" s="27" t="s">
        <v>2043</v>
      </c>
    </row>
    <row r="158" spans="1:1" ht="15">
      <c r="A158" s="27" t="s">
        <v>2044</v>
      </c>
    </row>
    <row r="159" spans="1:1" ht="15">
      <c r="A159" s="27" t="s">
        <v>2045</v>
      </c>
    </row>
    <row r="160" spans="1:1" ht="15">
      <c r="A160" s="27" t="s">
        <v>2046</v>
      </c>
    </row>
    <row r="161" spans="1:1" ht="15">
      <c r="A161" s="27" t="s">
        <v>2047</v>
      </c>
    </row>
    <row r="162" spans="1:1" ht="15">
      <c r="A162" s="27" t="s">
        <v>2048</v>
      </c>
    </row>
    <row r="163" spans="1:1" ht="15">
      <c r="A163" s="27" t="s">
        <v>2049</v>
      </c>
    </row>
    <row r="164" spans="1:1" ht="15">
      <c r="A164" s="27" t="s">
        <v>2050</v>
      </c>
    </row>
    <row r="165" spans="1:1" ht="15">
      <c r="A165" s="27" t="s">
        <v>2051</v>
      </c>
    </row>
    <row r="166" spans="1:1" ht="15">
      <c r="A166" s="27" t="s">
        <v>2052</v>
      </c>
    </row>
    <row r="167" spans="1:1" ht="15">
      <c r="A167" s="27" t="s">
        <v>2053</v>
      </c>
    </row>
    <row r="168" spans="1:1" ht="15">
      <c r="A168" s="27" t="s">
        <v>2054</v>
      </c>
    </row>
    <row r="169" spans="1:1" ht="15">
      <c r="A169" s="27" t="s">
        <v>2055</v>
      </c>
    </row>
    <row r="170" spans="1:1" ht="15">
      <c r="A170" s="27" t="s">
        <v>2056</v>
      </c>
    </row>
    <row r="171" spans="1:1" ht="15">
      <c r="A171" s="27" t="s">
        <v>2057</v>
      </c>
    </row>
    <row r="172" spans="1:1" ht="15">
      <c r="A172" s="27" t="s">
        <v>2058</v>
      </c>
    </row>
    <row r="173" spans="1:1" ht="15">
      <c r="A173" s="27" t="s">
        <v>2059</v>
      </c>
    </row>
    <row r="174" spans="1:1" ht="15">
      <c r="A174" s="27" t="s">
        <v>2060</v>
      </c>
    </row>
    <row r="175" spans="1:1" ht="15">
      <c r="A175" s="27" t="s">
        <v>2061</v>
      </c>
    </row>
    <row r="176" spans="1:1" ht="15">
      <c r="A176" s="27" t="s">
        <v>2062</v>
      </c>
    </row>
    <row r="177" spans="1:1" ht="15">
      <c r="A177" s="27" t="s">
        <v>2063</v>
      </c>
    </row>
    <row r="178" spans="1:1" ht="15">
      <c r="A178" s="27" t="s">
        <v>2064</v>
      </c>
    </row>
    <row r="179" spans="1:1" ht="15">
      <c r="A179" s="27" t="s">
        <v>2065</v>
      </c>
    </row>
    <row r="180" spans="1:1" ht="15">
      <c r="A180" s="27" t="s">
        <v>2066</v>
      </c>
    </row>
    <row r="181" spans="1:1" ht="15">
      <c r="A181" s="27" t="s">
        <v>2067</v>
      </c>
    </row>
    <row r="182" spans="1:1" ht="15">
      <c r="A182" s="27" t="s">
        <v>2068</v>
      </c>
    </row>
    <row r="183" spans="1:1" ht="15">
      <c r="A183" s="28" t="s">
        <v>2069</v>
      </c>
    </row>
    <row r="184" spans="1:1" ht="15">
      <c r="A184" s="28" t="s">
        <v>2070</v>
      </c>
    </row>
    <row r="185" spans="1:1" ht="15">
      <c r="A185" s="28" t="s">
        <v>2071</v>
      </c>
    </row>
    <row r="186" spans="1:1" ht="15">
      <c r="A186" s="28" t="s">
        <v>2072</v>
      </c>
    </row>
    <row r="187" spans="1:1" ht="15">
      <c r="A187" s="28" t="s">
        <v>2073</v>
      </c>
    </row>
    <row r="188" spans="1:1" ht="15">
      <c r="A188" s="28" t="s">
        <v>2074</v>
      </c>
    </row>
    <row r="189" spans="1:1" ht="15">
      <c r="A189" s="28" t="s">
        <v>2075</v>
      </c>
    </row>
    <row r="190" spans="1:1" ht="15">
      <c r="A190" s="28" t="s">
        <v>2076</v>
      </c>
    </row>
    <row r="191" spans="1:1" ht="15">
      <c r="A191" s="28" t="s">
        <v>2077</v>
      </c>
    </row>
    <row r="192" spans="1:1" ht="15">
      <c r="A192" s="28" t="s">
        <v>2078</v>
      </c>
    </row>
    <row r="193" spans="1:1" ht="15">
      <c r="A193" s="28" t="s">
        <v>2079</v>
      </c>
    </row>
    <row r="194" spans="1:1" ht="15">
      <c r="A194" s="28" t="s">
        <v>2080</v>
      </c>
    </row>
    <row r="195" spans="1:1" ht="15">
      <c r="A195" s="28" t="s">
        <v>2081</v>
      </c>
    </row>
    <row r="196" spans="1:1" ht="15">
      <c r="A196" s="28" t="s">
        <v>2082</v>
      </c>
    </row>
    <row r="197" spans="1:1" ht="15">
      <c r="A197" s="28" t="s">
        <v>2083</v>
      </c>
    </row>
    <row r="198" spans="1:1" ht="15">
      <c r="A198" s="28" t="s">
        <v>2084</v>
      </c>
    </row>
    <row r="199" spans="1:1" ht="15">
      <c r="A199" s="28" t="s">
        <v>2085</v>
      </c>
    </row>
    <row r="200" spans="1:1" ht="15">
      <c r="A200" s="28" t="s">
        <v>2086</v>
      </c>
    </row>
    <row r="201" spans="1:1" ht="15">
      <c r="A201" s="28" t="s">
        <v>2087</v>
      </c>
    </row>
    <row r="202" spans="1:1" ht="15">
      <c r="A202" s="28" t="s">
        <v>2088</v>
      </c>
    </row>
    <row r="203" spans="1:1" ht="15">
      <c r="A203" s="28" t="s">
        <v>2089</v>
      </c>
    </row>
    <row r="204" spans="1:1" ht="15">
      <c r="A204" s="28" t="s">
        <v>2090</v>
      </c>
    </row>
    <row r="205" spans="1:1" ht="15">
      <c r="A205" s="28" t="s">
        <v>2091</v>
      </c>
    </row>
    <row r="206" spans="1:1" ht="15">
      <c r="A206" s="28" t="s">
        <v>2092</v>
      </c>
    </row>
    <row r="207" spans="1:1" ht="15">
      <c r="A207" s="27" t="s">
        <v>2093</v>
      </c>
    </row>
    <row r="208" spans="1:1" ht="15">
      <c r="A208" s="28" t="s">
        <v>2094</v>
      </c>
    </row>
    <row r="209" spans="1:1" ht="15">
      <c r="A209" s="28" t="s">
        <v>2095</v>
      </c>
    </row>
    <row r="210" spans="1:1" ht="15">
      <c r="A210" s="28" t="s">
        <v>2096</v>
      </c>
    </row>
    <row r="211" spans="1:1" ht="15">
      <c r="A211" s="28" t="s">
        <v>2097</v>
      </c>
    </row>
    <row r="212" spans="1:1" ht="15">
      <c r="A212" s="28" t="s">
        <v>2098</v>
      </c>
    </row>
    <row r="213" spans="1:1" ht="15">
      <c r="A213" s="28" t="s">
        <v>2099</v>
      </c>
    </row>
    <row r="214" spans="1:1" ht="15">
      <c r="A214" s="28" t="s">
        <v>2100</v>
      </c>
    </row>
    <row r="215" spans="1:1" ht="15">
      <c r="A215" s="28" t="s">
        <v>2101</v>
      </c>
    </row>
    <row r="216" spans="1:1" ht="15">
      <c r="A216" s="28" t="s">
        <v>2102</v>
      </c>
    </row>
    <row r="217" spans="1:1" ht="15">
      <c r="A217" s="28" t="s">
        <v>2103</v>
      </c>
    </row>
    <row r="218" spans="1:1" ht="15">
      <c r="A218" s="28" t="s">
        <v>2104</v>
      </c>
    </row>
    <row r="219" spans="1:1" ht="15">
      <c r="A219" s="28" t="s">
        <v>2105</v>
      </c>
    </row>
    <row r="220" spans="1:1" ht="15">
      <c r="A220" s="28" t="s">
        <v>2106</v>
      </c>
    </row>
    <row r="221" spans="1:1" ht="15">
      <c r="A221" s="28" t="s">
        <v>2107</v>
      </c>
    </row>
    <row r="222" spans="1:1" ht="15">
      <c r="A222" s="28" t="s">
        <v>2108</v>
      </c>
    </row>
    <row r="223" spans="1:1" ht="15">
      <c r="A223" s="28" t="s">
        <v>2109</v>
      </c>
    </row>
    <row r="224" spans="1:1" ht="15">
      <c r="A224" s="28" t="s">
        <v>2110</v>
      </c>
    </row>
    <row r="225" spans="1:1" ht="15">
      <c r="A225" s="28" t="s">
        <v>2111</v>
      </c>
    </row>
    <row r="226" spans="1:1" ht="15">
      <c r="A226" s="28" t="s">
        <v>2112</v>
      </c>
    </row>
    <row r="227" spans="1:1" ht="15">
      <c r="A227" s="28" t="s">
        <v>2113</v>
      </c>
    </row>
    <row r="228" spans="1:1" ht="15">
      <c r="A228" s="28" t="s">
        <v>2114</v>
      </c>
    </row>
    <row r="229" spans="1:1" ht="15">
      <c r="A229" s="27" t="s">
        <v>2115</v>
      </c>
    </row>
    <row r="230" spans="1:1" ht="15">
      <c r="A230" s="28" t="s">
        <v>2116</v>
      </c>
    </row>
    <row r="231" spans="1:1" ht="15">
      <c r="A231" s="28" t="s">
        <v>2117</v>
      </c>
    </row>
    <row r="232" spans="1:1" ht="15">
      <c r="A232" s="28" t="s">
        <v>2118</v>
      </c>
    </row>
    <row r="233" spans="1:1" ht="15">
      <c r="A233" s="27" t="s">
        <v>2119</v>
      </c>
    </row>
    <row r="234" spans="1:1" ht="15">
      <c r="A234" s="28" t="s">
        <v>2120</v>
      </c>
    </row>
    <row r="235" spans="1:1" ht="15">
      <c r="A235" s="28" t="s">
        <v>2121</v>
      </c>
    </row>
    <row r="236" spans="1:1" ht="15">
      <c r="A236" s="28" t="s">
        <v>2122</v>
      </c>
    </row>
    <row r="237" spans="1:1" ht="15">
      <c r="A237" s="28" t="s">
        <v>2123</v>
      </c>
    </row>
    <row r="238" spans="1:1" ht="15">
      <c r="A238" s="28" t="s">
        <v>2124</v>
      </c>
    </row>
    <row r="239" spans="1:1" ht="15">
      <c r="A239" s="28" t="s">
        <v>2125</v>
      </c>
    </row>
    <row r="240" spans="1:1" ht="15">
      <c r="A240" s="28" t="s">
        <v>2126</v>
      </c>
    </row>
    <row r="241" spans="1:1" ht="15">
      <c r="A241" s="28" t="s">
        <v>2127</v>
      </c>
    </row>
    <row r="242" spans="1:1" ht="15">
      <c r="A242" s="28" t="s">
        <v>2128</v>
      </c>
    </row>
    <row r="243" spans="1:1" ht="15">
      <c r="A243" s="28" t="s">
        <v>2129</v>
      </c>
    </row>
    <row r="244" spans="1:1" ht="15">
      <c r="A244" s="28" t="s">
        <v>2130</v>
      </c>
    </row>
    <row r="245" spans="1:1" ht="15">
      <c r="A245" s="28" t="s">
        <v>2131</v>
      </c>
    </row>
    <row r="246" spans="1:1" ht="15">
      <c r="A246" s="28" t="s">
        <v>2132</v>
      </c>
    </row>
    <row r="247" spans="1:1" ht="15">
      <c r="A247" s="27" t="s">
        <v>2133</v>
      </c>
    </row>
    <row r="248" spans="1:1" ht="15">
      <c r="A248" s="28" t="s">
        <v>2134</v>
      </c>
    </row>
    <row r="249" spans="1:1" ht="15">
      <c r="A249" s="28" t="s">
        <v>2135</v>
      </c>
    </row>
    <row r="250" spans="1:1" ht="15">
      <c r="A250" s="28" t="s">
        <v>2136</v>
      </c>
    </row>
    <row r="251" spans="1:1" ht="15">
      <c r="A251" s="28" t="s">
        <v>2137</v>
      </c>
    </row>
    <row r="252" spans="1:1" ht="15">
      <c r="A252" s="28" t="s">
        <v>2138</v>
      </c>
    </row>
    <row r="253" spans="1:1" ht="15">
      <c r="A253" s="28" t="s">
        <v>2139</v>
      </c>
    </row>
    <row r="254" spans="1:1" ht="15">
      <c r="A254" s="28" t="s">
        <v>2140</v>
      </c>
    </row>
    <row r="255" spans="1:1" ht="15">
      <c r="A255" s="28" t="s">
        <v>2141</v>
      </c>
    </row>
    <row r="256" spans="1:1" ht="15">
      <c r="A256" s="28" t="s">
        <v>2142</v>
      </c>
    </row>
    <row r="257" spans="1:1" ht="15">
      <c r="A257" s="28" t="s">
        <v>2143</v>
      </c>
    </row>
    <row r="258" spans="1:1" ht="15">
      <c r="A258" s="28" t="s">
        <v>2144</v>
      </c>
    </row>
    <row r="259" spans="1:1" ht="15">
      <c r="A259" s="28" t="s">
        <v>2145</v>
      </c>
    </row>
    <row r="260" spans="1:1" ht="15">
      <c r="A260" s="28" t="s">
        <v>2146</v>
      </c>
    </row>
    <row r="261" spans="1:1" ht="15">
      <c r="A261" s="28" t="s">
        <v>2147</v>
      </c>
    </row>
    <row r="262" spans="1:1" ht="15">
      <c r="A262" s="9" t="s">
        <v>2148</v>
      </c>
    </row>
    <row r="263" spans="1:1" ht="15">
      <c r="A263" s="28" t="s">
        <v>2149</v>
      </c>
    </row>
    <row r="264" spans="1:1" ht="15">
      <c r="A264" s="28" t="s">
        <v>2150</v>
      </c>
    </row>
    <row r="265" spans="1:1" ht="15">
      <c r="A265" s="28" t="s">
        <v>2151</v>
      </c>
    </row>
    <row r="266" spans="1:1" ht="15">
      <c r="A266" s="28" t="s">
        <v>2152</v>
      </c>
    </row>
    <row r="267" spans="1:1" ht="15">
      <c r="A267" s="27" t="s">
        <v>2153</v>
      </c>
    </row>
    <row r="268" spans="1:1" ht="15">
      <c r="A268" s="27" t="s">
        <v>2154</v>
      </c>
    </row>
    <row r="269" spans="1:1" ht="15">
      <c r="A269" s="27" t="s">
        <v>2155</v>
      </c>
    </row>
    <row r="270" spans="1:1" ht="15">
      <c r="A270" s="27" t="s">
        <v>2156</v>
      </c>
    </row>
    <row r="271" spans="1:1" ht="15">
      <c r="A271" s="27" t="s">
        <v>2157</v>
      </c>
    </row>
    <row r="272" spans="1:1" ht="15">
      <c r="A272" s="27" t="s">
        <v>2158</v>
      </c>
    </row>
    <row r="273" spans="1:1" ht="15">
      <c r="A273" s="27" t="s">
        <v>2159</v>
      </c>
    </row>
    <row r="274" spans="1:1" ht="15">
      <c r="A274" s="27" t="s">
        <v>2160</v>
      </c>
    </row>
    <row r="275" spans="1:1" ht="15">
      <c r="A275" s="27" t="s">
        <v>2161</v>
      </c>
    </row>
    <row r="276" spans="1:1" ht="15">
      <c r="A276" s="27" t="s">
        <v>2162</v>
      </c>
    </row>
    <row r="277" spans="1:1" ht="15">
      <c r="A277" s="27" t="s">
        <v>2163</v>
      </c>
    </row>
    <row r="278" spans="1:1" ht="15">
      <c r="A278" s="27" t="s">
        <v>2164</v>
      </c>
    </row>
    <row r="279" spans="1:1" ht="15">
      <c r="A279" s="27" t="s">
        <v>2165</v>
      </c>
    </row>
    <row r="280" spans="1:1" ht="15">
      <c r="A280" s="27" t="s">
        <v>2166</v>
      </c>
    </row>
    <row r="281" spans="1:1" ht="15">
      <c r="A281" s="27" t="s">
        <v>2167</v>
      </c>
    </row>
    <row r="282" spans="1:1" ht="15">
      <c r="A282" s="27" t="s">
        <v>2168</v>
      </c>
    </row>
    <row r="283" spans="1:1" ht="15">
      <c r="A283" s="27" t="s">
        <v>2169</v>
      </c>
    </row>
    <row r="284" spans="1:1" ht="15">
      <c r="A284" s="27" t="s">
        <v>2170</v>
      </c>
    </row>
    <row r="285" spans="1:1" ht="15">
      <c r="A285" s="27" t="s">
        <v>2171</v>
      </c>
    </row>
    <row r="286" spans="1:1" ht="15">
      <c r="A286" s="27" t="s">
        <v>2172</v>
      </c>
    </row>
    <row r="287" spans="1:1" ht="15">
      <c r="A287" s="27" t="s">
        <v>2173</v>
      </c>
    </row>
    <row r="288" spans="1:1" ht="15">
      <c r="A288" s="27" t="s">
        <v>2174</v>
      </c>
    </row>
    <row r="289" spans="1:1" ht="15">
      <c r="A289" s="27" t="s">
        <v>2175</v>
      </c>
    </row>
    <row r="290" spans="1:1" ht="15">
      <c r="A290" s="6" t="s">
        <v>2176</v>
      </c>
    </row>
    <row r="291" spans="1:1" ht="15">
      <c r="A291" s="27" t="s">
        <v>2177</v>
      </c>
    </row>
    <row r="292" spans="1:1" ht="15">
      <c r="A292" s="27" t="s">
        <v>2178</v>
      </c>
    </row>
    <row r="293" spans="1:1" ht="15">
      <c r="A293" s="27" t="s">
        <v>2179</v>
      </c>
    </row>
    <row r="294" spans="1:1" ht="15">
      <c r="A294" s="27" t="s">
        <v>2180</v>
      </c>
    </row>
    <row r="295" spans="1:1" ht="15">
      <c r="A295" s="27" t="s">
        <v>2181</v>
      </c>
    </row>
    <row r="296" spans="1:1" ht="15">
      <c r="A296" s="27" t="s">
        <v>2182</v>
      </c>
    </row>
    <row r="297" spans="1:1" ht="15">
      <c r="A297" s="27" t="s">
        <v>2183</v>
      </c>
    </row>
    <row r="298" spans="1:1" ht="15">
      <c r="A298" s="27" t="s">
        <v>2184</v>
      </c>
    </row>
    <row r="299" spans="1:1" ht="15">
      <c r="A299" s="27" t="s">
        <v>2185</v>
      </c>
    </row>
    <row r="300" spans="1:1" ht="15">
      <c r="A300" s="27" t="s">
        <v>2186</v>
      </c>
    </row>
    <row r="301" spans="1:1" ht="15">
      <c r="A301" s="27" t="s">
        <v>2187</v>
      </c>
    </row>
    <row r="302" spans="1:1" ht="15">
      <c r="A302" s="27" t="s">
        <v>2188</v>
      </c>
    </row>
    <row r="303" spans="1:1" ht="15">
      <c r="A303" s="27" t="s">
        <v>2189</v>
      </c>
    </row>
    <row r="304" spans="1:1" ht="15">
      <c r="A304" s="27" t="s">
        <v>2190</v>
      </c>
    </row>
    <row r="305" spans="1:1" ht="15">
      <c r="A305" s="27" t="s">
        <v>2191</v>
      </c>
    </row>
    <row r="306" spans="1:1" ht="15">
      <c r="A306" s="27" t="s">
        <v>2192</v>
      </c>
    </row>
    <row r="307" spans="1:1" ht="15">
      <c r="A307" s="27" t="s">
        <v>2193</v>
      </c>
    </row>
    <row r="308" spans="1:1" ht="15">
      <c r="A308" s="27" t="s">
        <v>2194</v>
      </c>
    </row>
    <row r="309" spans="1:1" ht="15">
      <c r="A309" s="27" t="s">
        <v>2195</v>
      </c>
    </row>
    <row r="310" spans="1:1" ht="15">
      <c r="A310" s="27" t="s">
        <v>2196</v>
      </c>
    </row>
    <row r="311" spans="1:1" ht="15">
      <c r="A311" s="27" t="s">
        <v>2197</v>
      </c>
    </row>
    <row r="312" spans="1:1" ht="15">
      <c r="A312" s="27" t="s">
        <v>2198</v>
      </c>
    </row>
    <row r="313" spans="1:1" ht="15">
      <c r="A313" s="27" t="s">
        <v>2199</v>
      </c>
    </row>
    <row r="314" spans="1:1" ht="15">
      <c r="A314" s="27" t="s">
        <v>2200</v>
      </c>
    </row>
    <row r="315" spans="1:1" ht="15">
      <c r="A315" s="27" t="s">
        <v>2201</v>
      </c>
    </row>
    <row r="316" spans="1:1" ht="15">
      <c r="A316" s="27" t="s">
        <v>2202</v>
      </c>
    </row>
    <row r="317" spans="1:1" ht="15">
      <c r="A317" s="27" t="s">
        <v>2203</v>
      </c>
    </row>
    <row r="318" spans="1:1" ht="15">
      <c r="A318" s="27" t="s">
        <v>2204</v>
      </c>
    </row>
    <row r="319" spans="1:1" ht="15">
      <c r="A319" s="27" t="s">
        <v>2205</v>
      </c>
    </row>
    <row r="320" spans="1:1" ht="15">
      <c r="A320" s="27" t="s">
        <v>2206</v>
      </c>
    </row>
    <row r="321" spans="1:1" ht="15">
      <c r="A321" s="27" t="s">
        <v>2207</v>
      </c>
    </row>
    <row r="322" spans="1:1" ht="15">
      <c r="A322" s="27" t="s">
        <v>2208</v>
      </c>
    </row>
    <row r="323" spans="1:1" ht="15">
      <c r="A323" s="27" t="s">
        <v>2209</v>
      </c>
    </row>
    <row r="324" spans="1:1" ht="15">
      <c r="A324" s="27" t="s">
        <v>2210</v>
      </c>
    </row>
    <row r="325" spans="1:1" ht="15">
      <c r="A325" s="27" t="s">
        <v>2211</v>
      </c>
    </row>
    <row r="326" spans="1:1" ht="15">
      <c r="A326" s="27" t="s">
        <v>2212</v>
      </c>
    </row>
    <row r="327" spans="1:1" ht="15">
      <c r="A327" s="27" t="s">
        <v>2213</v>
      </c>
    </row>
    <row r="328" spans="1:1" ht="15">
      <c r="A328" s="27" t="s">
        <v>2214</v>
      </c>
    </row>
    <row r="329" spans="1:1" ht="15">
      <c r="A329" s="27" t="s">
        <v>2215</v>
      </c>
    </row>
    <row r="330" spans="1:1" ht="15">
      <c r="A330" s="27" t="s">
        <v>2216</v>
      </c>
    </row>
    <row r="331" spans="1:1" ht="15">
      <c r="A331" s="27" t="s">
        <v>2217</v>
      </c>
    </row>
    <row r="332" spans="1:1" ht="15">
      <c r="A332" s="27" t="s">
        <v>2218</v>
      </c>
    </row>
    <row r="333" spans="1:1" ht="15">
      <c r="A333" s="6" t="s">
        <v>2219</v>
      </c>
    </row>
    <row r="334" spans="1:1" ht="15">
      <c r="A334" s="27" t="s">
        <v>2220</v>
      </c>
    </row>
    <row r="335" spans="1:1" ht="15">
      <c r="A335" s="27" t="s">
        <v>2221</v>
      </c>
    </row>
    <row r="336" spans="1:1" ht="15">
      <c r="A336" s="27" t="s">
        <v>2222</v>
      </c>
    </row>
    <row r="337" spans="1:1" ht="15">
      <c r="A337" s="27" t="s">
        <v>2223</v>
      </c>
    </row>
    <row r="338" spans="1:1" ht="15">
      <c r="A338" s="27" t="s">
        <v>2224</v>
      </c>
    </row>
    <row r="339" spans="1:1" ht="15">
      <c r="A339" s="27" t="s">
        <v>2225</v>
      </c>
    </row>
    <row r="340" spans="1:1" ht="15">
      <c r="A340" s="27" t="s">
        <v>2226</v>
      </c>
    </row>
    <row r="341" spans="1:1" ht="15">
      <c r="A341" s="27" t="s">
        <v>2227</v>
      </c>
    </row>
    <row r="342" spans="1:1" ht="15">
      <c r="A342" s="27" t="s">
        <v>2228</v>
      </c>
    </row>
    <row r="343" spans="1:1" ht="15">
      <c r="A343" s="27" t="s">
        <v>2229</v>
      </c>
    </row>
    <row r="344" spans="1:1" ht="15">
      <c r="A344" s="27" t="s">
        <v>2230</v>
      </c>
    </row>
    <row r="345" spans="1:1" ht="15">
      <c r="A345" s="27" t="s">
        <v>2231</v>
      </c>
    </row>
    <row r="346" spans="1:1" ht="15">
      <c r="A346" s="27" t="s">
        <v>2232</v>
      </c>
    </row>
    <row r="347" spans="1:1" ht="15">
      <c r="A347" s="27" t="s">
        <v>2233</v>
      </c>
    </row>
    <row r="348" spans="1:1" ht="15">
      <c r="A348" s="27" t="s">
        <v>2234</v>
      </c>
    </row>
    <row r="349" spans="1:1" ht="15">
      <c r="A349" s="27" t="s">
        <v>2235</v>
      </c>
    </row>
    <row r="350" spans="1:1" ht="15">
      <c r="A350" s="27" t="s">
        <v>2236</v>
      </c>
    </row>
    <row r="351" spans="1:1" ht="15">
      <c r="A351" s="27" t="s">
        <v>2237</v>
      </c>
    </row>
    <row r="352" spans="1:1" ht="15">
      <c r="A352" s="27" t="s">
        <v>2238</v>
      </c>
    </row>
    <row r="353" spans="1:1" ht="15">
      <c r="A353" s="27" t="s">
        <v>2239</v>
      </c>
    </row>
    <row r="354" spans="1:1" ht="15">
      <c r="A354" s="27" t="s">
        <v>2240</v>
      </c>
    </row>
    <row r="355" spans="1:1" ht="15">
      <c r="A355" s="62" t="s">
        <v>2241</v>
      </c>
    </row>
    <row r="356" spans="1:1" ht="15">
      <c r="A356" s="27" t="s">
        <v>2242</v>
      </c>
    </row>
    <row r="357" spans="1:1" ht="15">
      <c r="A357" s="27" t="s">
        <v>2243</v>
      </c>
    </row>
    <row r="358" spans="1:1" ht="15">
      <c r="A358" s="27" t="s">
        <v>2244</v>
      </c>
    </row>
    <row r="359" spans="1:1" ht="15">
      <c r="A359" s="27" t="s">
        <v>2245</v>
      </c>
    </row>
    <row r="360" spans="1:1" ht="15">
      <c r="A360" s="27" t="s">
        <v>2246</v>
      </c>
    </row>
    <row r="361" spans="1:1" ht="15">
      <c r="A361" s="27" t="s">
        <v>2247</v>
      </c>
    </row>
    <row r="362" spans="1:1" ht="15">
      <c r="A362" s="27" t="s">
        <v>2248</v>
      </c>
    </row>
    <row r="363" spans="1:1" ht="15">
      <c r="A363" s="27" t="s">
        <v>2249</v>
      </c>
    </row>
    <row r="364" spans="1:1" ht="15">
      <c r="A364" s="6" t="s">
        <v>2250</v>
      </c>
    </row>
    <row r="365" spans="1:1" ht="15">
      <c r="A365" s="27" t="s">
        <v>2251</v>
      </c>
    </row>
    <row r="366" spans="1:1" ht="15">
      <c r="A366" s="27" t="s">
        <v>2252</v>
      </c>
    </row>
    <row r="367" spans="1:1" ht="15">
      <c r="A367" s="6" t="s">
        <v>2253</v>
      </c>
    </row>
    <row r="368" spans="1:1" ht="15">
      <c r="A368" s="27" t="s">
        <v>2254</v>
      </c>
    </row>
    <row r="369" spans="1:1" ht="15">
      <c r="A369" s="27" t="s">
        <v>2255</v>
      </c>
    </row>
    <row r="370" spans="1:1" ht="15">
      <c r="A370" s="27" t="s">
        <v>2256</v>
      </c>
    </row>
    <row r="371" spans="1:1" ht="15">
      <c r="A371" s="27" t="s">
        <v>2257</v>
      </c>
    </row>
    <row r="372" spans="1:1" ht="15">
      <c r="A372" s="27" t="s">
        <v>2258</v>
      </c>
    </row>
    <row r="373" spans="1:1" ht="15">
      <c r="A373" s="27" t="s">
        <v>2259</v>
      </c>
    </row>
    <row r="374" spans="1:1" ht="15">
      <c r="A374" s="27" t="s">
        <v>2260</v>
      </c>
    </row>
    <row r="375" spans="1:1" ht="15">
      <c r="A375" s="27" t="s">
        <v>2261</v>
      </c>
    </row>
    <row r="376" spans="1:1" ht="15">
      <c r="A376" s="27" t="s">
        <v>2262</v>
      </c>
    </row>
    <row r="377" spans="1:1" ht="15">
      <c r="A377" s="27" t="s">
        <v>2263</v>
      </c>
    </row>
    <row r="378" spans="1:1" ht="15">
      <c r="A378" s="27" t="s">
        <v>2264</v>
      </c>
    </row>
    <row r="379" spans="1:1" ht="15">
      <c r="A379" s="27" t="s">
        <v>2265</v>
      </c>
    </row>
    <row r="380" spans="1:1" ht="15">
      <c r="A380" s="27" t="s">
        <v>2266</v>
      </c>
    </row>
    <row r="381" spans="1:1" ht="15">
      <c r="A381" s="27" t="s">
        <v>2267</v>
      </c>
    </row>
    <row r="382" spans="1:1" ht="15">
      <c r="A382" s="27" t="s">
        <v>2268</v>
      </c>
    </row>
    <row r="383" spans="1:1" ht="15">
      <c r="A383" s="27" t="s">
        <v>2269</v>
      </c>
    </row>
    <row r="384" spans="1:1" ht="15">
      <c r="A384" s="27" t="s">
        <v>2270</v>
      </c>
    </row>
    <row r="385" spans="1:1" ht="15">
      <c r="A385" s="27" t="s">
        <v>2271</v>
      </c>
    </row>
    <row r="386" spans="1:1" ht="15">
      <c r="A386" s="27" t="s">
        <v>2272</v>
      </c>
    </row>
    <row r="387" spans="1:1" ht="15">
      <c r="A387" s="27" t="s">
        <v>2273</v>
      </c>
    </row>
    <row r="388" spans="1:1" ht="15">
      <c r="A388" s="27" t="s">
        <v>2274</v>
      </c>
    </row>
    <row r="389" spans="1:1" ht="15">
      <c r="A389" s="6" t="s">
        <v>2275</v>
      </c>
    </row>
    <row r="390" spans="1:1" ht="15">
      <c r="A390" s="27" t="s">
        <v>2276</v>
      </c>
    </row>
    <row r="391" spans="1:1" ht="15">
      <c r="A391" s="27" t="s">
        <v>2277</v>
      </c>
    </row>
    <row r="392" spans="1:1" ht="15">
      <c r="A392" s="27" t="s">
        <v>2278</v>
      </c>
    </row>
    <row r="393" spans="1:1" ht="15">
      <c r="A393" s="27" t="s">
        <v>2279</v>
      </c>
    </row>
    <row r="394" spans="1:1" ht="15">
      <c r="A394" s="27" t="s">
        <v>2280</v>
      </c>
    </row>
    <row r="395" spans="1:1" ht="15">
      <c r="A395" s="27" t="s">
        <v>2281</v>
      </c>
    </row>
    <row r="396" spans="1:1" ht="15">
      <c r="A396" s="27" t="s">
        <v>2282</v>
      </c>
    </row>
    <row r="397" spans="1:1" ht="15">
      <c r="A397" s="27" t="s">
        <v>2283</v>
      </c>
    </row>
    <row r="398" spans="1:1" ht="15">
      <c r="A398" s="27" t="s">
        <v>2284</v>
      </c>
    </row>
    <row r="399" spans="1:1" ht="15">
      <c r="A399" s="27" t="s">
        <v>2285</v>
      </c>
    </row>
    <row r="400" spans="1:1" ht="15">
      <c r="A400" s="27" t="s">
        <v>2286</v>
      </c>
    </row>
    <row r="401" spans="1:1" ht="15">
      <c r="A401" s="27" t="s">
        <v>2287</v>
      </c>
    </row>
    <row r="402" spans="1:1" ht="15">
      <c r="A402" s="27" t="s">
        <v>2288</v>
      </c>
    </row>
    <row r="403" spans="1:1" ht="15">
      <c r="A403" s="27" t="s">
        <v>2289</v>
      </c>
    </row>
    <row r="404" spans="1:1" ht="15">
      <c r="A404" s="27" t="s">
        <v>2290</v>
      </c>
    </row>
    <row r="405" spans="1:1" ht="15">
      <c r="A405" s="27" t="s">
        <v>2291</v>
      </c>
    </row>
    <row r="406" spans="1:1" ht="15">
      <c r="A406" s="27" t="s">
        <v>2292</v>
      </c>
    </row>
    <row r="407" spans="1:1" ht="15">
      <c r="A407" s="27" t="s">
        <v>2293</v>
      </c>
    </row>
    <row r="408" spans="1:1" ht="15">
      <c r="A408" s="27" t="s">
        <v>2294</v>
      </c>
    </row>
    <row r="409" spans="1:1" ht="15">
      <c r="A409" s="27" t="s">
        <v>2295</v>
      </c>
    </row>
    <row r="410" spans="1:1" ht="15">
      <c r="A410" s="27" t="s">
        <v>2296</v>
      </c>
    </row>
    <row r="411" spans="1:1" ht="15">
      <c r="A411" s="27" t="s">
        <v>2297</v>
      </c>
    </row>
    <row r="412" spans="1:1" ht="15">
      <c r="A412" s="27" t="s">
        <v>2298</v>
      </c>
    </row>
    <row r="413" spans="1:1" ht="15">
      <c r="A413" s="27" t="s">
        <v>2299</v>
      </c>
    </row>
    <row r="414" spans="1:1" ht="15">
      <c r="A414" s="27" t="s">
        <v>2300</v>
      </c>
    </row>
    <row r="415" spans="1:1" ht="15">
      <c r="A415" s="27" t="s">
        <v>2301</v>
      </c>
    </row>
    <row r="416" spans="1:1" ht="15">
      <c r="A416" s="27" t="s">
        <v>2302</v>
      </c>
    </row>
    <row r="417" spans="1:1" ht="15">
      <c r="A417" s="27" t="s">
        <v>2303</v>
      </c>
    </row>
    <row r="418" spans="1:1" ht="15">
      <c r="A418" s="27" t="s">
        <v>2304</v>
      </c>
    </row>
    <row r="419" spans="1:1" ht="15">
      <c r="A419" s="27" t="s">
        <v>2305</v>
      </c>
    </row>
    <row r="420" spans="1:1" ht="15">
      <c r="A420" s="27" t="s">
        <v>2306</v>
      </c>
    </row>
    <row r="421" spans="1:1" ht="15">
      <c r="A421" s="27" t="s">
        <v>2307</v>
      </c>
    </row>
    <row r="422" spans="1:1" ht="15">
      <c r="A422" s="27" t="s">
        <v>2308</v>
      </c>
    </row>
    <row r="423" spans="1:1" ht="15">
      <c r="A423" s="27" t="s">
        <v>2309</v>
      </c>
    </row>
    <row r="424" spans="1:1" ht="15">
      <c r="A424" s="27" t="s">
        <v>2310</v>
      </c>
    </row>
    <row r="425" spans="1:1" ht="15">
      <c r="A425" s="27" t="s">
        <v>2311</v>
      </c>
    </row>
    <row r="426" spans="1:1" ht="15">
      <c r="A426" s="27" t="s">
        <v>2312</v>
      </c>
    </row>
    <row r="427" spans="1:1" ht="15">
      <c r="A427" s="27" t="s">
        <v>2313</v>
      </c>
    </row>
    <row r="428" spans="1:1" ht="15">
      <c r="A428" s="27" t="s">
        <v>2314</v>
      </c>
    </row>
    <row r="429" spans="1:1" ht="15">
      <c r="A429" s="27" t="s">
        <v>2315</v>
      </c>
    </row>
    <row r="430" spans="1:1" ht="15">
      <c r="A430" s="27" t="s">
        <v>2316</v>
      </c>
    </row>
    <row r="431" spans="1:1" ht="15">
      <c r="A431" s="6" t="s">
        <v>2317</v>
      </c>
    </row>
    <row r="432" spans="1:1" ht="15">
      <c r="A432" s="27" t="s">
        <v>2318</v>
      </c>
    </row>
    <row r="433" spans="1:1" ht="15">
      <c r="A433" s="27" t="s">
        <v>2319</v>
      </c>
    </row>
    <row r="434" spans="1:1" ht="15">
      <c r="A434" s="27" t="s">
        <v>2320</v>
      </c>
    </row>
    <row r="435" spans="1:1" ht="15">
      <c r="A435" s="27" t="s">
        <v>2321</v>
      </c>
    </row>
    <row r="436" spans="1:1" ht="15">
      <c r="A436" s="27" t="s">
        <v>2322</v>
      </c>
    </row>
    <row r="437" spans="1:1" ht="15">
      <c r="A437" s="27" t="s">
        <v>2323</v>
      </c>
    </row>
    <row r="438" spans="1:1" ht="15">
      <c r="A438" s="27" t="s">
        <v>2324</v>
      </c>
    </row>
    <row r="439" spans="1:1" ht="15">
      <c r="A439" s="27" t="s">
        <v>2325</v>
      </c>
    </row>
    <row r="440" spans="1:1" ht="15">
      <c r="A440" s="27" t="s">
        <v>2326</v>
      </c>
    </row>
    <row r="441" spans="1:1" ht="15">
      <c r="A441" s="27" t="s">
        <v>2327</v>
      </c>
    </row>
    <row r="442" spans="1:1" ht="15">
      <c r="A442" s="27" t="s">
        <v>2328</v>
      </c>
    </row>
    <row r="443" spans="1:1" ht="15">
      <c r="A443" s="27" t="s">
        <v>2329</v>
      </c>
    </row>
    <row r="444" spans="1:1" ht="15">
      <c r="A444" s="27" t="s">
        <v>2330</v>
      </c>
    </row>
    <row r="445" spans="1:1" ht="15">
      <c r="A445" s="27" t="s">
        <v>2331</v>
      </c>
    </row>
    <row r="446" spans="1:1" ht="15">
      <c r="A446" s="27" t="s">
        <v>2332</v>
      </c>
    </row>
    <row r="447" spans="1:1" ht="15">
      <c r="A447" s="27" t="s">
        <v>2333</v>
      </c>
    </row>
    <row r="448" spans="1:1" ht="15">
      <c r="A448" s="27" t="s">
        <v>2334</v>
      </c>
    </row>
    <row r="449" spans="1:1" ht="15">
      <c r="A449" s="6" t="s">
        <v>2335</v>
      </c>
    </row>
    <row r="450" spans="1:1" ht="15">
      <c r="A450" s="27" t="s">
        <v>2336</v>
      </c>
    </row>
    <row r="451" spans="1:1" ht="15">
      <c r="A451" s="27" t="s">
        <v>2337</v>
      </c>
    </row>
    <row r="452" spans="1:1" ht="15">
      <c r="A452" s="27" t="s">
        <v>2338</v>
      </c>
    </row>
    <row r="453" spans="1:1" ht="15">
      <c r="A453" s="27" t="s">
        <v>2339</v>
      </c>
    </row>
    <row r="454" spans="1:1" ht="15">
      <c r="A454" s="27" t="s">
        <v>2340</v>
      </c>
    </row>
    <row r="455" spans="1:1" ht="15">
      <c r="A455" s="6" t="s">
        <v>2341</v>
      </c>
    </row>
    <row r="456" spans="1:1" ht="15">
      <c r="A456" s="27" t="s">
        <v>2342</v>
      </c>
    </row>
    <row r="457" spans="1:1" ht="15">
      <c r="A457" s="27" t="s">
        <v>2343</v>
      </c>
    </row>
    <row r="458" spans="1:1" ht="15">
      <c r="A458" s="27" t="s">
        <v>2344</v>
      </c>
    </row>
    <row r="459" spans="1:1" ht="15">
      <c r="A459" s="27" t="s">
        <v>2345</v>
      </c>
    </row>
    <row r="460" spans="1:1" ht="15">
      <c r="A460" s="27" t="s">
        <v>2346</v>
      </c>
    </row>
    <row r="461" spans="1:1" ht="15">
      <c r="A461" s="27" t="s">
        <v>2347</v>
      </c>
    </row>
    <row r="462" spans="1:1" ht="15">
      <c r="A462" s="27" t="s">
        <v>2348</v>
      </c>
    </row>
    <row r="463" spans="1:1" ht="15">
      <c r="A463" s="27" t="s">
        <v>2349</v>
      </c>
    </row>
    <row r="464" spans="1:1" ht="15">
      <c r="A464" s="27" t="s">
        <v>2350</v>
      </c>
    </row>
    <row r="465" spans="1:1" ht="15">
      <c r="A465" s="27" t="s">
        <v>2351</v>
      </c>
    </row>
    <row r="466" spans="1:1" ht="15">
      <c r="A466" s="27" t="s">
        <v>2352</v>
      </c>
    </row>
    <row r="467" spans="1:1" ht="15">
      <c r="A467" s="27" t="s">
        <v>2353</v>
      </c>
    </row>
    <row r="468" spans="1:1" ht="15">
      <c r="A468" s="6" t="s">
        <v>2354</v>
      </c>
    </row>
    <row r="469" spans="1:1" ht="15">
      <c r="A469" s="27" t="s">
        <v>2355</v>
      </c>
    </row>
    <row r="470" spans="1:1" ht="15">
      <c r="A470" s="27" t="s">
        <v>2356</v>
      </c>
    </row>
    <row r="471" spans="1:1" ht="15">
      <c r="A471" s="27" t="s">
        <v>2357</v>
      </c>
    </row>
    <row r="472" spans="1:1" ht="15">
      <c r="A472" s="6" t="s">
        <v>2358</v>
      </c>
    </row>
    <row r="473" spans="1:1" ht="15">
      <c r="A473" s="27" t="s">
        <v>2359</v>
      </c>
    </row>
    <row r="474" spans="1:1" ht="15">
      <c r="A474" s="27" t="s">
        <v>2360</v>
      </c>
    </row>
    <row r="475" spans="1:1" ht="15">
      <c r="A475" s="27" t="s">
        <v>2361</v>
      </c>
    </row>
    <row r="476" spans="1:1" ht="15">
      <c r="A476" s="27" t="s">
        <v>2362</v>
      </c>
    </row>
    <row r="477" spans="1:1" ht="15">
      <c r="A477" s="27" t="s">
        <v>2363</v>
      </c>
    </row>
    <row r="478" spans="1:1" ht="15">
      <c r="A478" s="27" t="s">
        <v>2364</v>
      </c>
    </row>
    <row r="479" spans="1:1" ht="15">
      <c r="A479" s="27" t="s">
        <v>2365</v>
      </c>
    </row>
    <row r="480" spans="1:1" ht="15">
      <c r="A480" s="27" t="s">
        <v>2366</v>
      </c>
    </row>
    <row r="481" spans="1:1" ht="15">
      <c r="A481" s="27" t="s">
        <v>2367</v>
      </c>
    </row>
    <row r="482" spans="1:1" ht="15">
      <c r="A482" s="27" t="s">
        <v>2368</v>
      </c>
    </row>
    <row r="483" spans="1:1" ht="15">
      <c r="A483" s="27" t="s">
        <v>2369</v>
      </c>
    </row>
    <row r="484" spans="1:1" ht="15">
      <c r="A484" s="27" t="s">
        <v>2370</v>
      </c>
    </row>
    <row r="485" spans="1:1" ht="15">
      <c r="A485" s="28" t="s">
        <v>2371</v>
      </c>
    </row>
    <row r="486" spans="1:1" ht="15">
      <c r="A486" s="27" t="s">
        <v>2372</v>
      </c>
    </row>
    <row r="487" spans="1:1" ht="15">
      <c r="A487" s="27" t="s">
        <v>2373</v>
      </c>
    </row>
    <row r="488" spans="1:1" ht="15">
      <c r="A488" s="27" t="s">
        <v>2374</v>
      </c>
    </row>
    <row r="489" spans="1:1" ht="15">
      <c r="A489" s="27" t="s">
        <v>2375</v>
      </c>
    </row>
    <row r="490" spans="1:1" ht="15">
      <c r="A490" s="27" t="s">
        <v>2376</v>
      </c>
    </row>
    <row r="491" spans="1:1" ht="15">
      <c r="A491" s="27" t="s">
        <v>2377</v>
      </c>
    </row>
    <row r="492" spans="1:1" ht="15">
      <c r="A492" s="27" t="s">
        <v>2378</v>
      </c>
    </row>
    <row r="493" spans="1:1" ht="15">
      <c r="A493" s="27" t="s">
        <v>2379</v>
      </c>
    </row>
    <row r="494" spans="1:1" ht="15">
      <c r="A494" s="27" t="s">
        <v>2380</v>
      </c>
    </row>
    <row r="495" spans="1:1" ht="15">
      <c r="A495" s="27" t="s">
        <v>2381</v>
      </c>
    </row>
    <row r="496" spans="1:1" ht="15">
      <c r="A496" s="27" t="s">
        <v>2382</v>
      </c>
    </row>
    <row r="497" spans="1:1" ht="15">
      <c r="A497" s="27" t="s">
        <v>2383</v>
      </c>
    </row>
    <row r="498" spans="1:1" ht="15">
      <c r="A498" s="27" t="s">
        <v>2384</v>
      </c>
    </row>
    <row r="499" spans="1:1" ht="15">
      <c r="A499" s="28" t="s">
        <v>2385</v>
      </c>
    </row>
    <row r="500" spans="1:1" ht="15">
      <c r="A500" s="28" t="s">
        <v>2386</v>
      </c>
    </row>
    <row r="501" spans="1:1" ht="15">
      <c r="A501" s="28" t="s">
        <v>2387</v>
      </c>
    </row>
    <row r="502" spans="1:1" ht="15">
      <c r="A502" s="28" t="s">
        <v>1835</v>
      </c>
    </row>
    <row r="503" spans="1:1" ht="15">
      <c r="A503" s="28" t="s">
        <v>2388</v>
      </c>
    </row>
    <row r="504" spans="1:1" ht="15">
      <c r="A504" s="28" t="s">
        <v>2389</v>
      </c>
    </row>
    <row r="505" spans="1:1" ht="15">
      <c r="A505" s="28" t="s">
        <v>2390</v>
      </c>
    </row>
    <row r="506" spans="1:1" ht="15">
      <c r="A506" s="28" t="s">
        <v>2391</v>
      </c>
    </row>
    <row r="507" spans="1:1" ht="15">
      <c r="A507" s="28" t="s">
        <v>2392</v>
      </c>
    </row>
    <row r="508" spans="1:1" ht="15">
      <c r="A508" s="9" t="s">
        <v>2393</v>
      </c>
    </row>
    <row r="509" spans="1:1" ht="15">
      <c r="A509" s="28" t="s">
        <v>2394</v>
      </c>
    </row>
    <row r="510" spans="1:1" ht="15">
      <c r="A510" s="28" t="s">
        <v>2395</v>
      </c>
    </row>
    <row r="511" spans="1:1" ht="15">
      <c r="A511" s="28" t="s">
        <v>2396</v>
      </c>
    </row>
    <row r="512" spans="1:1" ht="15">
      <c r="A512" s="28" t="s">
        <v>2397</v>
      </c>
    </row>
    <row r="513" spans="1:1" ht="15">
      <c r="A513" s="28" t="s">
        <v>2398</v>
      </c>
    </row>
    <row r="514" spans="1:1" ht="15">
      <c r="A514" s="28" t="s">
        <v>2399</v>
      </c>
    </row>
    <row r="515" spans="1:1" ht="15">
      <c r="A515" s="28" t="s">
        <v>2400</v>
      </c>
    </row>
    <row r="516" spans="1:1" ht="15">
      <c r="A516" s="28" t="s">
        <v>2401</v>
      </c>
    </row>
    <row r="517" spans="1:1" ht="15">
      <c r="A517" s="28" t="s">
        <v>2402</v>
      </c>
    </row>
    <row r="518" spans="1:1" ht="15">
      <c r="A518" s="28" t="s">
        <v>2403</v>
      </c>
    </row>
    <row r="519" spans="1:1" ht="15">
      <c r="A519" s="28" t="s">
        <v>2404</v>
      </c>
    </row>
    <row r="520" spans="1:1" ht="15">
      <c r="A520" s="28" t="s">
        <v>2405</v>
      </c>
    </row>
    <row r="521" spans="1:1" ht="15">
      <c r="A521" s="28" t="s">
        <v>2406</v>
      </c>
    </row>
    <row r="522" spans="1:1" ht="15">
      <c r="A522" s="28" t="s">
        <v>2407</v>
      </c>
    </row>
    <row r="523" spans="1:1" ht="15">
      <c r="A523" s="28" t="s">
        <v>2408</v>
      </c>
    </row>
    <row r="524" spans="1:1" ht="15">
      <c r="A524" s="28" t="s">
        <v>2409</v>
      </c>
    </row>
    <row r="525" spans="1:1" ht="15">
      <c r="A525" s="28" t="s">
        <v>2410</v>
      </c>
    </row>
    <row r="526" spans="1:1" ht="15">
      <c r="A526" s="28" t="s">
        <v>2411</v>
      </c>
    </row>
    <row r="527" spans="1:1" ht="15">
      <c r="A527" s="28" t="s">
        <v>2412</v>
      </c>
    </row>
    <row r="528" spans="1:1" ht="15">
      <c r="A528" s="28" t="s">
        <v>2413</v>
      </c>
    </row>
    <row r="529" spans="1:1" ht="15">
      <c r="A529" s="28" t="s">
        <v>2414</v>
      </c>
    </row>
    <row r="530" spans="1:1" ht="15">
      <c r="A530" s="9" t="s">
        <v>2415</v>
      </c>
    </row>
    <row r="531" spans="1:1" ht="15">
      <c r="A531" s="28" t="s">
        <v>2416</v>
      </c>
    </row>
    <row r="532" spans="1:1" ht="15">
      <c r="A532" s="28" t="s">
        <v>2417</v>
      </c>
    </row>
    <row r="533" spans="1:1" ht="15">
      <c r="A533" s="28" t="s">
        <v>2418</v>
      </c>
    </row>
    <row r="534" spans="1:1" ht="15">
      <c r="A534" s="28" t="s">
        <v>2419</v>
      </c>
    </row>
    <row r="535" spans="1:1" ht="15">
      <c r="A535" s="28" t="s">
        <v>2420</v>
      </c>
    </row>
    <row r="536" spans="1:1" ht="15">
      <c r="A536" s="28" t="s">
        <v>2421</v>
      </c>
    </row>
    <row r="537" spans="1:1" ht="15">
      <c r="A537" s="28" t="s">
        <v>2422</v>
      </c>
    </row>
    <row r="538" spans="1:1" ht="15">
      <c r="A538" s="28" t="s">
        <v>2423</v>
      </c>
    </row>
    <row r="539" spans="1:1" ht="15">
      <c r="A539" s="28" t="s">
        <v>2424</v>
      </c>
    </row>
    <row r="540" spans="1:1" ht="15">
      <c r="A540" s="28" t="s">
        <v>2425</v>
      </c>
    </row>
    <row r="541" spans="1:1" ht="15">
      <c r="A541" s="28" t="s">
        <v>2426</v>
      </c>
    </row>
    <row r="542" spans="1:1" ht="15">
      <c r="A542" s="28" t="s">
        <v>2426</v>
      </c>
    </row>
    <row r="543" spans="1:1" ht="15">
      <c r="A543" s="28" t="s">
        <v>2427</v>
      </c>
    </row>
    <row r="544" spans="1:1" ht="15">
      <c r="A544" s="28" t="s">
        <v>2428</v>
      </c>
    </row>
    <row r="545" spans="1:1" ht="15">
      <c r="A545" s="28" t="s">
        <v>2429</v>
      </c>
    </row>
    <row r="546" spans="1:1" ht="15">
      <c r="A546" s="28" t="s">
        <v>2430</v>
      </c>
    </row>
    <row r="547" spans="1:1" ht="15">
      <c r="A547" s="28" t="s">
        <v>2431</v>
      </c>
    </row>
    <row r="548" spans="1:1" ht="15">
      <c r="A548" s="28" t="s">
        <v>2432</v>
      </c>
    </row>
    <row r="549" spans="1:1" ht="15">
      <c r="A549" s="9" t="s">
        <v>2433</v>
      </c>
    </row>
    <row r="550" spans="1:1" ht="15">
      <c r="A550" s="28" t="s">
        <v>2434</v>
      </c>
    </row>
    <row r="551" spans="1:1" ht="15">
      <c r="A551" s="28" t="s">
        <v>2435</v>
      </c>
    </row>
    <row r="552" spans="1:1" ht="15">
      <c r="A552" s="28" t="s">
        <v>2436</v>
      </c>
    </row>
    <row r="553" spans="1:1" ht="15">
      <c r="A553" s="28" t="s">
        <v>2437</v>
      </c>
    </row>
    <row r="554" spans="1:1" ht="15">
      <c r="A554" s="28" t="s">
        <v>2438</v>
      </c>
    </row>
    <row r="555" spans="1:1" ht="15">
      <c r="A555" s="28" t="s">
        <v>2439</v>
      </c>
    </row>
    <row r="556" spans="1:1" ht="15">
      <c r="A556" s="28" t="s">
        <v>2440</v>
      </c>
    </row>
    <row r="557" spans="1:1" ht="15">
      <c r="A557" s="28" t="s">
        <v>2441</v>
      </c>
    </row>
    <row r="558" spans="1:1" ht="15">
      <c r="A558" s="28" t="s">
        <v>2442</v>
      </c>
    </row>
    <row r="559" spans="1:1" ht="15">
      <c r="A559" s="28" t="s">
        <v>2443</v>
      </c>
    </row>
    <row r="560" spans="1:1" ht="15">
      <c r="A560" s="28" t="s">
        <v>2444</v>
      </c>
    </row>
    <row r="561" spans="1:1" ht="15">
      <c r="A561" s="28" t="s">
        <v>2445</v>
      </c>
    </row>
    <row r="562" spans="1:1" ht="15">
      <c r="A562" s="28" t="s">
        <v>2446</v>
      </c>
    </row>
    <row r="563" spans="1:1" ht="15">
      <c r="A563" s="28" t="s">
        <v>2447</v>
      </c>
    </row>
    <row r="564" spans="1:1" ht="15">
      <c r="A564" s="28" t="s">
        <v>2448</v>
      </c>
    </row>
    <row r="565" spans="1:1" ht="15">
      <c r="A565" s="28" t="s">
        <v>2449</v>
      </c>
    </row>
    <row r="566" spans="1:1" ht="15">
      <c r="A566" s="28" t="s">
        <v>2450</v>
      </c>
    </row>
    <row r="567" spans="1:1" ht="15">
      <c r="A567" s="28" t="s">
        <v>2451</v>
      </c>
    </row>
    <row r="568" spans="1:1" ht="15">
      <c r="A568" s="28" t="s">
        <v>2452</v>
      </c>
    </row>
    <row r="569" spans="1:1" ht="15">
      <c r="A569" s="28" t="s">
        <v>2453</v>
      </c>
    </row>
    <row r="570" spans="1:1" ht="15">
      <c r="A570" s="28" t="s">
        <v>2454</v>
      </c>
    </row>
    <row r="571" spans="1:1" ht="15">
      <c r="A571" s="28" t="s">
        <v>2455</v>
      </c>
    </row>
    <row r="572" spans="1:1" ht="15">
      <c r="A572" s="28" t="s">
        <v>2456</v>
      </c>
    </row>
    <row r="573" spans="1:1" ht="15">
      <c r="A573" s="9" t="s">
        <v>2457</v>
      </c>
    </row>
    <row r="574" spans="1:1" ht="15">
      <c r="A574" s="28" t="s">
        <v>2458</v>
      </c>
    </row>
    <row r="575" spans="1:1" ht="15">
      <c r="A575" s="28" t="s">
        <v>2459</v>
      </c>
    </row>
    <row r="576" spans="1:1" ht="15">
      <c r="A576" s="9" t="s">
        <v>2460</v>
      </c>
    </row>
    <row r="577" spans="1:1" ht="15">
      <c r="A577" s="28" t="s">
        <v>2461</v>
      </c>
    </row>
    <row r="578" spans="1:1" ht="15">
      <c r="A578" s="28" t="s">
        <v>2462</v>
      </c>
    </row>
    <row r="579" spans="1:1" ht="15">
      <c r="A579" s="28" t="s">
        <v>2463</v>
      </c>
    </row>
    <row r="580" spans="1:1" ht="15">
      <c r="A580" s="28" t="s">
        <v>2464</v>
      </c>
    </row>
    <row r="581" spans="1:1" ht="15">
      <c r="A581" s="28" t="s">
        <v>2465</v>
      </c>
    </row>
    <row r="582" spans="1:1" ht="15">
      <c r="A582" s="28" t="s">
        <v>2466</v>
      </c>
    </row>
    <row r="583" spans="1:1" ht="15">
      <c r="A583" s="28" t="s">
        <v>2467</v>
      </c>
    </row>
    <row r="584" spans="1:1" ht="15">
      <c r="A584" s="28" t="s">
        <v>2468</v>
      </c>
    </row>
    <row r="585" spans="1:1" ht="15">
      <c r="A585" s="28" t="s">
        <v>2469</v>
      </c>
    </row>
    <row r="586" spans="1:1" ht="15">
      <c r="A586" s="28" t="s">
        <v>2470</v>
      </c>
    </row>
    <row r="587" spans="1:1" ht="15">
      <c r="A587" s="28" t="s">
        <v>2471</v>
      </c>
    </row>
    <row r="588" spans="1:1" ht="15">
      <c r="A588" s="28" t="s">
        <v>2472</v>
      </c>
    </row>
    <row r="589" spans="1:1" ht="15">
      <c r="A589" s="9" t="s">
        <v>2473</v>
      </c>
    </row>
    <row r="590" spans="1:1" ht="15">
      <c r="A590" s="28" t="s">
        <v>2474</v>
      </c>
    </row>
    <row r="591" spans="1:1" ht="15">
      <c r="A591" s="28" t="s">
        <v>2475</v>
      </c>
    </row>
    <row r="592" spans="1:1" ht="15">
      <c r="A592" s="28" t="s">
        <v>2476</v>
      </c>
    </row>
    <row r="593" spans="1:1" ht="15">
      <c r="A593" s="28" t="s">
        <v>2477</v>
      </c>
    </row>
    <row r="594" spans="1:1" ht="15">
      <c r="A594" s="27" t="s">
        <v>2478</v>
      </c>
    </row>
    <row r="595" spans="1:1" ht="15">
      <c r="A595" s="27" t="s">
        <v>2479</v>
      </c>
    </row>
    <row r="596" spans="1:1" ht="15">
      <c r="A596" s="27" t="s">
        <v>2480</v>
      </c>
    </row>
    <row r="597" spans="1:1" ht="15">
      <c r="A597" s="27" t="s">
        <v>2481</v>
      </c>
    </row>
    <row r="598" spans="1:1" ht="15">
      <c r="A598" s="27" t="s">
        <v>2482</v>
      </c>
    </row>
    <row r="599" spans="1:1" ht="15">
      <c r="A599" s="27" t="s">
        <v>2483</v>
      </c>
    </row>
    <row r="600" spans="1:1" ht="15">
      <c r="A600" s="27" t="s">
        <v>2484</v>
      </c>
    </row>
    <row r="601" spans="1:1" ht="15">
      <c r="A601" s="6" t="s">
        <v>2485</v>
      </c>
    </row>
    <row r="602" spans="1:1" ht="15">
      <c r="A602" s="27" t="s">
        <v>2486</v>
      </c>
    </row>
    <row r="603" spans="1:1" ht="15">
      <c r="A603" s="27" t="s">
        <v>2487</v>
      </c>
    </row>
    <row r="604" spans="1:1" ht="15">
      <c r="A604" s="27" t="s">
        <v>2488</v>
      </c>
    </row>
    <row r="605" spans="1:1" ht="15">
      <c r="A605" s="27" t="s">
        <v>2489</v>
      </c>
    </row>
    <row r="606" spans="1:1" ht="15">
      <c r="A606" s="27" t="s">
        <v>2490</v>
      </c>
    </row>
    <row r="607" spans="1:1" ht="15">
      <c r="A607" s="27" t="s">
        <v>2491</v>
      </c>
    </row>
    <row r="608" spans="1:1" ht="15">
      <c r="A608" s="27" t="s">
        <v>2492</v>
      </c>
    </row>
    <row r="609" spans="1:1" ht="15">
      <c r="A609" s="27" t="s">
        <v>2493</v>
      </c>
    </row>
    <row r="610" spans="1:1" ht="15">
      <c r="A610" s="27" t="s">
        <v>2494</v>
      </c>
    </row>
    <row r="611" spans="1:1" ht="15">
      <c r="A611" s="27"/>
    </row>
    <row r="612" spans="1:1" ht="15">
      <c r="A612" s="27"/>
    </row>
    <row r="613" spans="1:1" ht="15">
      <c r="A613" s="27"/>
    </row>
    <row r="614" spans="1:1" ht="15">
      <c r="A614" s="27"/>
    </row>
    <row r="615" spans="1:1" ht="15">
      <c r="A615" s="27"/>
    </row>
    <row r="616" spans="1:1" ht="15">
      <c r="A616" s="27"/>
    </row>
    <row r="617" spans="1:1" ht="15">
      <c r="A617" s="27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50"/>
  <sheetViews>
    <sheetView topLeftCell="A467" workbookViewId="0">
      <selection activeCell="A488" sqref="A488"/>
    </sheetView>
  </sheetViews>
  <sheetFormatPr defaultColWidth="8.7109375" defaultRowHeight="14.45"/>
  <cols>
    <col min="1" max="1" width="12.7109375" customWidth="1"/>
    <col min="2" max="2" width="22.42578125" customWidth="1"/>
  </cols>
  <sheetData>
    <row r="1" spans="1:2">
      <c r="A1" s="19" t="s">
        <v>1882</v>
      </c>
      <c r="B1" s="19" t="s">
        <v>586</v>
      </c>
    </row>
    <row r="2" spans="1:2">
      <c r="A2" s="18" t="s">
        <v>70</v>
      </c>
      <c r="B2" s="18" t="s">
        <v>2007</v>
      </c>
    </row>
    <row r="3" spans="1:2" ht="29.1">
      <c r="A3" s="58" t="s">
        <v>72</v>
      </c>
      <c r="B3" s="18" t="s">
        <v>2246</v>
      </c>
    </row>
    <row r="4" spans="1:2">
      <c r="A4" s="18" t="s">
        <v>74</v>
      </c>
      <c r="B4" s="18" t="s">
        <v>2486</v>
      </c>
    </row>
    <row r="5" spans="1:2">
      <c r="A5" s="18" t="s">
        <v>75</v>
      </c>
      <c r="B5" s="18" t="s">
        <v>2165</v>
      </c>
    </row>
    <row r="6" spans="1:2">
      <c r="A6" s="18" t="s">
        <v>871</v>
      </c>
      <c r="B6" s="18" t="s">
        <v>2165</v>
      </c>
    </row>
    <row r="7" spans="1:2">
      <c r="A7" s="18" t="s">
        <v>875</v>
      </c>
      <c r="B7" s="18" t="s">
        <v>1976</v>
      </c>
    </row>
    <row r="8" spans="1:2">
      <c r="A8" s="18" t="s">
        <v>878</v>
      </c>
      <c r="B8" s="18" t="s">
        <v>2158</v>
      </c>
    </row>
    <row r="9" spans="1:2">
      <c r="A9" s="18" t="s">
        <v>881</v>
      </c>
      <c r="B9" s="18" t="s">
        <v>1985</v>
      </c>
    </row>
    <row r="10" spans="1:2">
      <c r="A10" s="18" t="s">
        <v>80</v>
      </c>
      <c r="B10" s="18" t="s">
        <v>1983</v>
      </c>
    </row>
    <row r="11" spans="1:2">
      <c r="A11" s="18" t="s">
        <v>81</v>
      </c>
      <c r="B11" s="18" t="s">
        <v>1941</v>
      </c>
    </row>
    <row r="12" spans="1:2">
      <c r="A12" s="18" t="s">
        <v>81</v>
      </c>
      <c r="B12" s="18" t="s">
        <v>2417</v>
      </c>
    </row>
    <row r="13" spans="1:2">
      <c r="A13" s="18" t="s">
        <v>81</v>
      </c>
      <c r="B13" s="18" t="s">
        <v>2148</v>
      </c>
    </row>
    <row r="14" spans="1:2">
      <c r="A14" s="18" t="s">
        <v>82</v>
      </c>
      <c r="B14" s="18" t="s">
        <v>2275</v>
      </c>
    </row>
    <row r="15" spans="1:2">
      <c r="A15" s="18" t="s">
        <v>83</v>
      </c>
      <c r="B15" s="18" t="s">
        <v>2433</v>
      </c>
    </row>
    <row r="16" spans="1:2">
      <c r="A16" s="18" t="s">
        <v>83</v>
      </c>
      <c r="B16" s="18" t="s">
        <v>1994</v>
      </c>
    </row>
    <row r="17" spans="1:2">
      <c r="A17" s="18" t="s">
        <v>83</v>
      </c>
      <c r="B17" s="18" t="s">
        <v>1918</v>
      </c>
    </row>
    <row r="18" spans="1:2">
      <c r="A18" s="18" t="s">
        <v>84</v>
      </c>
      <c r="B18" s="18" t="s">
        <v>1996</v>
      </c>
    </row>
    <row r="19" spans="1:2">
      <c r="A19" s="18" t="s">
        <v>85</v>
      </c>
      <c r="B19" s="18" t="s">
        <v>2423</v>
      </c>
    </row>
    <row r="20" spans="1:2">
      <c r="A20" s="18" t="s">
        <v>85</v>
      </c>
      <c r="B20" s="18" t="s">
        <v>2176</v>
      </c>
    </row>
    <row r="21" spans="1:2">
      <c r="A21" s="18" t="s">
        <v>86</v>
      </c>
      <c r="B21" s="18" t="s">
        <v>2358</v>
      </c>
    </row>
    <row r="22" spans="1:2">
      <c r="A22" s="18" t="s">
        <v>87</v>
      </c>
      <c r="B22" s="18" t="s">
        <v>2250</v>
      </c>
    </row>
    <row r="23" spans="1:2">
      <c r="A23" s="18" t="s">
        <v>87</v>
      </c>
      <c r="B23" s="18" t="s">
        <v>2373</v>
      </c>
    </row>
    <row r="24" spans="1:2">
      <c r="A24" s="18" t="s">
        <v>88</v>
      </c>
      <c r="B24" s="18" t="s">
        <v>2341</v>
      </c>
    </row>
    <row r="25" spans="1:2">
      <c r="A25" s="18" t="s">
        <v>89</v>
      </c>
      <c r="B25" s="18" t="s">
        <v>2219</v>
      </c>
    </row>
    <row r="26" spans="1:2">
      <c r="A26" s="18" t="s">
        <v>90</v>
      </c>
      <c r="B26" s="18" t="s">
        <v>2144</v>
      </c>
    </row>
    <row r="27" spans="1:2">
      <c r="A27" s="18" t="s">
        <v>90</v>
      </c>
      <c r="B27" s="18" t="s">
        <v>2041</v>
      </c>
    </row>
    <row r="28" spans="1:2">
      <c r="A28" s="18" t="s">
        <v>90</v>
      </c>
      <c r="B28" s="18" t="s">
        <v>2063</v>
      </c>
    </row>
    <row r="29" spans="1:2">
      <c r="A29" s="18" t="s">
        <v>90</v>
      </c>
      <c r="B29" s="18" t="s">
        <v>2470</v>
      </c>
    </row>
    <row r="30" spans="1:2">
      <c r="A30" s="18" t="s">
        <v>91</v>
      </c>
      <c r="B30" s="18" t="s">
        <v>2473</v>
      </c>
    </row>
    <row r="31" spans="1:2">
      <c r="A31" s="18" t="s">
        <v>92</v>
      </c>
      <c r="B31" s="18" t="s">
        <v>2485</v>
      </c>
    </row>
    <row r="32" spans="1:2">
      <c r="A32" s="18" t="s">
        <v>1883</v>
      </c>
      <c r="B32" s="18" t="s">
        <v>2457</v>
      </c>
    </row>
    <row r="33" spans="1:2">
      <c r="A33" s="18" t="s">
        <v>1883</v>
      </c>
      <c r="B33" s="18" t="s">
        <v>2317</v>
      </c>
    </row>
    <row r="34" spans="1:2">
      <c r="A34" s="18" t="s">
        <v>93</v>
      </c>
      <c r="B34" s="18" t="s">
        <v>2457</v>
      </c>
    </row>
    <row r="35" spans="1:2">
      <c r="A35" s="18" t="s">
        <v>93</v>
      </c>
      <c r="B35" s="18" t="s">
        <v>2317</v>
      </c>
    </row>
    <row r="36" spans="1:2">
      <c r="A36" s="18" t="s">
        <v>94</v>
      </c>
      <c r="B36" s="18" t="s">
        <v>2457</v>
      </c>
    </row>
    <row r="37" spans="1:2">
      <c r="A37" s="18" t="s">
        <v>94</v>
      </c>
      <c r="B37" s="18" t="s">
        <v>2317</v>
      </c>
    </row>
    <row r="38" spans="1:2">
      <c r="A38" s="18" t="s">
        <v>95</v>
      </c>
      <c r="B38" s="18" t="s">
        <v>2460</v>
      </c>
    </row>
    <row r="39" spans="1:2">
      <c r="A39" s="18" t="s">
        <v>95</v>
      </c>
      <c r="B39" s="18" t="s">
        <v>2415</v>
      </c>
    </row>
    <row r="40" spans="1:2">
      <c r="A40" s="18" t="s">
        <v>96</v>
      </c>
      <c r="B40" s="18" t="s">
        <v>2032</v>
      </c>
    </row>
    <row r="41" spans="1:2">
      <c r="A41" s="18" t="s">
        <v>96</v>
      </c>
      <c r="B41" s="18" t="s">
        <v>2096</v>
      </c>
    </row>
    <row r="42" spans="1:2">
      <c r="A42" s="18" t="s">
        <v>97</v>
      </c>
      <c r="B42" s="18" t="s">
        <v>2432</v>
      </c>
    </row>
    <row r="43" spans="1:2">
      <c r="A43" s="18" t="s">
        <v>98</v>
      </c>
      <c r="B43" s="18" t="s">
        <v>1905</v>
      </c>
    </row>
    <row r="44" spans="1:2">
      <c r="A44" s="18" t="s">
        <v>99</v>
      </c>
      <c r="B44" s="18" t="s">
        <v>1924</v>
      </c>
    </row>
    <row r="45" spans="1:2">
      <c r="A45" s="18" t="s">
        <v>100</v>
      </c>
      <c r="B45" s="18" t="s">
        <v>2335</v>
      </c>
    </row>
    <row r="46" spans="1:2">
      <c r="A46" s="18" t="s">
        <v>101</v>
      </c>
      <c r="B46" s="18" t="s">
        <v>2187</v>
      </c>
    </row>
    <row r="47" spans="1:2">
      <c r="A47" s="18" t="s">
        <v>102</v>
      </c>
      <c r="B47" s="18" t="s">
        <v>1957</v>
      </c>
    </row>
    <row r="48" spans="1:2">
      <c r="A48" s="18" t="s">
        <v>103</v>
      </c>
      <c r="B48" s="18" t="s">
        <v>2484</v>
      </c>
    </row>
    <row r="49" spans="1:2">
      <c r="A49" s="18" t="s">
        <v>104</v>
      </c>
      <c r="B49" s="18" t="s">
        <v>2484</v>
      </c>
    </row>
    <row r="50" spans="1:2">
      <c r="A50" s="18" t="s">
        <v>105</v>
      </c>
      <c r="B50" s="18" t="s">
        <v>2147</v>
      </c>
    </row>
    <row r="51" spans="1:2">
      <c r="A51" s="18" t="s">
        <v>106</v>
      </c>
      <c r="B51" s="18" t="s">
        <v>2446</v>
      </c>
    </row>
    <row r="52" spans="1:2">
      <c r="A52" s="18" t="s">
        <v>107</v>
      </c>
      <c r="B52" s="18" t="s">
        <v>2309</v>
      </c>
    </row>
    <row r="53" spans="1:2">
      <c r="A53" s="18" t="s">
        <v>107</v>
      </c>
      <c r="B53" s="18" t="s">
        <v>1955</v>
      </c>
    </row>
    <row r="54" spans="1:2">
      <c r="A54" s="18" t="s">
        <v>108</v>
      </c>
      <c r="B54" s="18" t="s">
        <v>2106</v>
      </c>
    </row>
    <row r="55" spans="1:2">
      <c r="A55" s="18" t="s">
        <v>108</v>
      </c>
      <c r="B55" s="18" t="s">
        <v>2035</v>
      </c>
    </row>
    <row r="56" spans="1:2">
      <c r="A56" s="18" t="s">
        <v>109</v>
      </c>
      <c r="B56" s="18" t="s">
        <v>2407</v>
      </c>
    </row>
    <row r="57" spans="1:2">
      <c r="A57" s="18" t="s">
        <v>110</v>
      </c>
      <c r="B57" s="18" t="s">
        <v>2406</v>
      </c>
    </row>
    <row r="58" spans="1:2">
      <c r="A58" s="18" t="s">
        <v>111</v>
      </c>
      <c r="B58" s="18" t="s">
        <v>2405</v>
      </c>
    </row>
    <row r="59" spans="1:2">
      <c r="A59" s="18" t="s">
        <v>112</v>
      </c>
      <c r="B59" s="18" t="s">
        <v>2085</v>
      </c>
    </row>
    <row r="60" spans="1:2">
      <c r="A60" s="18" t="s">
        <v>113</v>
      </c>
      <c r="B60" s="18" t="s">
        <v>2342</v>
      </c>
    </row>
    <row r="61" spans="1:2">
      <c r="A61" s="18" t="s">
        <v>114</v>
      </c>
      <c r="B61" s="18" t="s">
        <v>2476</v>
      </c>
    </row>
    <row r="62" spans="1:2">
      <c r="A62" s="18" t="s">
        <v>115</v>
      </c>
      <c r="B62" s="18" t="s">
        <v>2301</v>
      </c>
    </row>
    <row r="63" spans="1:2">
      <c r="A63" s="18" t="s">
        <v>116</v>
      </c>
      <c r="B63" s="18" t="s">
        <v>2007</v>
      </c>
    </row>
    <row r="64" spans="1:2">
      <c r="A64" s="18" t="s">
        <v>117</v>
      </c>
      <c r="B64" s="18" t="s">
        <v>2099</v>
      </c>
    </row>
    <row r="65" spans="1:2">
      <c r="A65" s="18" t="s">
        <v>117</v>
      </c>
      <c r="B65" s="18" t="s">
        <v>2222</v>
      </c>
    </row>
    <row r="66" spans="1:2">
      <c r="A66" s="18" t="s">
        <v>118</v>
      </c>
      <c r="B66" s="18" t="s">
        <v>2375</v>
      </c>
    </row>
    <row r="67" spans="1:2">
      <c r="A67" s="18" t="s">
        <v>119</v>
      </c>
      <c r="B67" s="18" t="s">
        <v>2135</v>
      </c>
    </row>
    <row r="68" spans="1:2">
      <c r="A68" s="18" t="s">
        <v>120</v>
      </c>
      <c r="B68" s="18" t="s">
        <v>2491</v>
      </c>
    </row>
    <row r="69" spans="1:2">
      <c r="A69" s="18" t="s">
        <v>121</v>
      </c>
      <c r="B69" s="18" t="s">
        <v>2446</v>
      </c>
    </row>
    <row r="70" spans="1:2">
      <c r="A70" s="18" t="s">
        <v>122</v>
      </c>
      <c r="B70" s="18" t="s">
        <v>2446</v>
      </c>
    </row>
    <row r="71" spans="1:2">
      <c r="A71" s="18" t="s">
        <v>122</v>
      </c>
      <c r="B71" s="18" t="s">
        <v>2330</v>
      </c>
    </row>
    <row r="72" spans="1:2">
      <c r="A72" s="18" t="s">
        <v>123</v>
      </c>
      <c r="B72" s="18" t="s">
        <v>1913</v>
      </c>
    </row>
    <row r="73" spans="1:2">
      <c r="A73" s="18" t="s">
        <v>124</v>
      </c>
      <c r="B73" s="18" t="s">
        <v>1924</v>
      </c>
    </row>
    <row r="74" spans="1:2">
      <c r="A74" s="18" t="s">
        <v>124</v>
      </c>
      <c r="B74" s="18" t="s">
        <v>2251</v>
      </c>
    </row>
    <row r="75" spans="1:2">
      <c r="A75" s="18" t="s">
        <v>125</v>
      </c>
      <c r="B75" s="18" t="s">
        <v>2186</v>
      </c>
    </row>
    <row r="76" spans="1:2">
      <c r="A76" s="18" t="s">
        <v>125</v>
      </c>
      <c r="B76" s="18" t="s">
        <v>2057</v>
      </c>
    </row>
    <row r="77" spans="1:2">
      <c r="A77" s="18" t="s">
        <v>126</v>
      </c>
      <c r="B77" s="18" t="s">
        <v>2308</v>
      </c>
    </row>
    <row r="78" spans="1:2">
      <c r="A78" s="18" t="s">
        <v>127</v>
      </c>
      <c r="B78" s="18" t="s">
        <v>1918</v>
      </c>
    </row>
    <row r="79" spans="1:2">
      <c r="A79" s="18" t="s">
        <v>127</v>
      </c>
      <c r="B79" s="18" t="s">
        <v>2096</v>
      </c>
    </row>
    <row r="80" spans="1:2">
      <c r="A80" s="18" t="s">
        <v>128</v>
      </c>
      <c r="B80" s="18" t="s">
        <v>2441</v>
      </c>
    </row>
    <row r="81" spans="1:2">
      <c r="A81" s="18" t="s">
        <v>128</v>
      </c>
      <c r="B81" s="18" t="s">
        <v>2163</v>
      </c>
    </row>
    <row r="82" spans="1:2">
      <c r="A82" s="18" t="s">
        <v>128</v>
      </c>
      <c r="B82" s="18" t="s">
        <v>1943</v>
      </c>
    </row>
    <row r="83" spans="1:2">
      <c r="A83" s="18" t="s">
        <v>128</v>
      </c>
      <c r="B83" s="18" t="s">
        <v>2229</v>
      </c>
    </row>
    <row r="84" spans="1:2">
      <c r="A84" s="18" t="s">
        <v>1884</v>
      </c>
      <c r="B84" s="18" t="s">
        <v>1943</v>
      </c>
    </row>
    <row r="85" spans="1:2">
      <c r="A85" s="18" t="s">
        <v>129</v>
      </c>
      <c r="B85" s="18" t="s">
        <v>1943</v>
      </c>
    </row>
    <row r="86" spans="1:2">
      <c r="A86" s="18" t="s">
        <v>130</v>
      </c>
      <c r="B86" s="18" t="s">
        <v>1943</v>
      </c>
    </row>
    <row r="87" spans="1:2">
      <c r="A87" s="18" t="s">
        <v>131</v>
      </c>
      <c r="B87" s="18" t="s">
        <v>2140</v>
      </c>
    </row>
    <row r="88" spans="1:2">
      <c r="A88" s="18" t="s">
        <v>132</v>
      </c>
      <c r="B88" s="18" t="s">
        <v>1918</v>
      </c>
    </row>
    <row r="89" spans="1:2">
      <c r="A89" s="18" t="s">
        <v>132</v>
      </c>
      <c r="B89" s="18" t="s">
        <v>2024</v>
      </c>
    </row>
    <row r="90" spans="1:2">
      <c r="A90" s="18" t="s">
        <v>133</v>
      </c>
      <c r="B90" s="18" t="s">
        <v>2461</v>
      </c>
    </row>
    <row r="91" spans="1:2">
      <c r="A91" s="18" t="s">
        <v>133</v>
      </c>
      <c r="B91" s="18" t="s">
        <v>2179</v>
      </c>
    </row>
    <row r="92" spans="1:2">
      <c r="A92" s="18" t="s">
        <v>133</v>
      </c>
      <c r="B92" s="18" t="s">
        <v>1932</v>
      </c>
    </row>
    <row r="93" spans="1:2">
      <c r="A93" s="18" t="s">
        <v>134</v>
      </c>
      <c r="B93" s="18" t="s">
        <v>2398</v>
      </c>
    </row>
    <row r="94" spans="1:2">
      <c r="A94" s="18" t="s">
        <v>134</v>
      </c>
      <c r="B94" s="18" t="s">
        <v>2090</v>
      </c>
    </row>
    <row r="95" spans="1:2">
      <c r="A95" s="18" t="s">
        <v>135</v>
      </c>
      <c r="B95" s="18" t="s">
        <v>2398</v>
      </c>
    </row>
    <row r="96" spans="1:2">
      <c r="A96" s="18" t="s">
        <v>135</v>
      </c>
      <c r="B96" s="18" t="s">
        <v>2006</v>
      </c>
    </row>
    <row r="97" spans="1:2">
      <c r="A97" s="18" t="s">
        <v>136</v>
      </c>
      <c r="B97" s="18" t="s">
        <v>2019</v>
      </c>
    </row>
    <row r="98" spans="1:2">
      <c r="A98" s="18" t="s">
        <v>136</v>
      </c>
      <c r="B98" s="18" t="s">
        <v>2174</v>
      </c>
    </row>
    <row r="99" spans="1:2">
      <c r="A99" s="18" t="s">
        <v>137</v>
      </c>
      <c r="B99" s="18" t="s">
        <v>2247</v>
      </c>
    </row>
    <row r="100" spans="1:2">
      <c r="A100" s="18" t="s">
        <v>1885</v>
      </c>
      <c r="B100" s="18" t="s">
        <v>2164</v>
      </c>
    </row>
    <row r="101" spans="1:2">
      <c r="A101" s="18" t="s">
        <v>1885</v>
      </c>
      <c r="B101" s="18" t="s">
        <v>2039</v>
      </c>
    </row>
    <row r="102" spans="1:2">
      <c r="A102" s="18" t="s">
        <v>138</v>
      </c>
      <c r="B102" s="18" t="s">
        <v>2164</v>
      </c>
    </row>
    <row r="103" spans="1:2">
      <c r="A103" s="18" t="s">
        <v>138</v>
      </c>
      <c r="B103" s="18" t="s">
        <v>2039</v>
      </c>
    </row>
    <row r="104" spans="1:2">
      <c r="A104" s="18" t="s">
        <v>139</v>
      </c>
      <c r="B104" s="18" t="s">
        <v>2164</v>
      </c>
    </row>
    <row r="105" spans="1:2">
      <c r="A105" s="18" t="s">
        <v>139</v>
      </c>
      <c r="B105" s="18" t="s">
        <v>2039</v>
      </c>
    </row>
    <row r="106" spans="1:2">
      <c r="A106" s="18" t="s">
        <v>140</v>
      </c>
      <c r="B106" s="18" t="s">
        <v>2164</v>
      </c>
    </row>
    <row r="107" spans="1:2">
      <c r="A107" s="18" t="s">
        <v>140</v>
      </c>
      <c r="B107" s="18" t="s">
        <v>2039</v>
      </c>
    </row>
    <row r="108" spans="1:2">
      <c r="A108" s="18" t="s">
        <v>141</v>
      </c>
      <c r="B108" s="18" t="s">
        <v>2164</v>
      </c>
    </row>
    <row r="109" spans="1:2">
      <c r="A109" s="18" t="s">
        <v>141</v>
      </c>
      <c r="B109" s="18" t="s">
        <v>2039</v>
      </c>
    </row>
    <row r="110" spans="1:2">
      <c r="A110" s="18" t="s">
        <v>142</v>
      </c>
      <c r="B110" s="18" t="s">
        <v>2164</v>
      </c>
    </row>
    <row r="111" spans="1:2">
      <c r="A111" s="18" t="s">
        <v>142</v>
      </c>
      <c r="B111" s="18" t="s">
        <v>2039</v>
      </c>
    </row>
    <row r="112" spans="1:2">
      <c r="A112" s="18" t="s">
        <v>143</v>
      </c>
      <c r="B112" s="18" t="s">
        <v>2287</v>
      </c>
    </row>
    <row r="113" spans="1:2">
      <c r="A113" s="18" t="s">
        <v>144</v>
      </c>
      <c r="B113" s="18" t="s">
        <v>2222</v>
      </c>
    </row>
    <row r="114" spans="1:2">
      <c r="A114" s="18" t="s">
        <v>144</v>
      </c>
      <c r="B114" s="18" t="s">
        <v>2120</v>
      </c>
    </row>
    <row r="115" spans="1:2">
      <c r="A115" s="18" t="s">
        <v>145</v>
      </c>
      <c r="B115" s="18" t="s">
        <v>2109</v>
      </c>
    </row>
    <row r="116" spans="1:2">
      <c r="A116" s="18" t="s">
        <v>145</v>
      </c>
      <c r="B116" s="18" t="s">
        <v>2163</v>
      </c>
    </row>
    <row r="117" spans="1:2">
      <c r="A117" s="18" t="s">
        <v>146</v>
      </c>
      <c r="B117" s="18" t="s">
        <v>2092</v>
      </c>
    </row>
    <row r="118" spans="1:2">
      <c r="A118" s="18" t="s">
        <v>147</v>
      </c>
      <c r="B118" s="18" t="s">
        <v>2487</v>
      </c>
    </row>
    <row r="119" spans="1:2">
      <c r="A119" s="18" t="s">
        <v>148</v>
      </c>
      <c r="B119" s="18" t="s">
        <v>2261</v>
      </c>
    </row>
    <row r="120" spans="1:2">
      <c r="A120" s="18" t="s">
        <v>149</v>
      </c>
      <c r="B120" s="18" t="s">
        <v>1984</v>
      </c>
    </row>
    <row r="121" spans="1:2">
      <c r="A121" s="18" t="s">
        <v>150</v>
      </c>
      <c r="B121" s="18" t="s">
        <v>2357</v>
      </c>
    </row>
    <row r="122" spans="1:2">
      <c r="A122" s="18" t="s">
        <v>151</v>
      </c>
      <c r="B122" s="18" t="s">
        <v>2273</v>
      </c>
    </row>
    <row r="123" spans="1:2">
      <c r="A123" s="18" t="s">
        <v>152</v>
      </c>
      <c r="B123" s="18" t="s">
        <v>2353</v>
      </c>
    </row>
    <row r="124" spans="1:2">
      <c r="A124" s="18" t="s">
        <v>153</v>
      </c>
      <c r="B124" s="18" t="s">
        <v>2262</v>
      </c>
    </row>
    <row r="125" spans="1:2">
      <c r="A125" s="18" t="s">
        <v>154</v>
      </c>
      <c r="B125" s="18" t="s">
        <v>1956</v>
      </c>
    </row>
    <row r="126" spans="1:2">
      <c r="A126" s="18" t="s">
        <v>155</v>
      </c>
      <c r="B126" s="18" t="s">
        <v>2382</v>
      </c>
    </row>
    <row r="127" spans="1:2">
      <c r="A127" s="18" t="s">
        <v>156</v>
      </c>
      <c r="B127" s="18" t="s">
        <v>2385</v>
      </c>
    </row>
    <row r="128" spans="1:2">
      <c r="A128" s="18" t="s">
        <v>157</v>
      </c>
      <c r="B128" s="18" t="s">
        <v>2426</v>
      </c>
    </row>
    <row r="129" spans="1:2">
      <c r="A129" s="18" t="s">
        <v>158</v>
      </c>
      <c r="B129" s="18" t="s">
        <v>2252</v>
      </c>
    </row>
    <row r="130" spans="1:2">
      <c r="A130" s="18" t="s">
        <v>159</v>
      </c>
      <c r="B130" s="18" t="s">
        <v>2427</v>
      </c>
    </row>
    <row r="131" spans="1:2">
      <c r="A131" s="18" t="s">
        <v>160</v>
      </c>
      <c r="B131" s="18" t="s">
        <v>2492</v>
      </c>
    </row>
    <row r="132" spans="1:2">
      <c r="A132" s="18" t="s">
        <v>160</v>
      </c>
      <c r="B132" s="18" t="s">
        <v>2355</v>
      </c>
    </row>
    <row r="133" spans="1:2">
      <c r="A133" s="18" t="s">
        <v>160</v>
      </c>
      <c r="B133" s="18" t="s">
        <v>2393</v>
      </c>
    </row>
    <row r="134" spans="1:2">
      <c r="A134" s="18" t="s">
        <v>161</v>
      </c>
      <c r="B134" s="18" t="s">
        <v>2199</v>
      </c>
    </row>
    <row r="135" spans="1:2">
      <c r="A135" s="18" t="s">
        <v>162</v>
      </c>
      <c r="B135" s="18" t="s">
        <v>2159</v>
      </c>
    </row>
    <row r="136" spans="1:2">
      <c r="A136" s="18" t="s">
        <v>163</v>
      </c>
      <c r="B136" s="18" t="s">
        <v>2294</v>
      </c>
    </row>
    <row r="137" spans="1:2">
      <c r="A137" s="18" t="s">
        <v>164</v>
      </c>
      <c r="B137" s="18" t="s">
        <v>2441</v>
      </c>
    </row>
    <row r="138" spans="1:2">
      <c r="A138" s="18" t="s">
        <v>165</v>
      </c>
      <c r="B138" s="18" t="s">
        <v>1964</v>
      </c>
    </row>
    <row r="139" spans="1:2">
      <c r="A139" s="18" t="s">
        <v>166</v>
      </c>
      <c r="B139" s="18" t="s">
        <v>2458</v>
      </c>
    </row>
    <row r="140" spans="1:2">
      <c r="A140" s="18" t="s">
        <v>167</v>
      </c>
      <c r="B140" s="18" t="s">
        <v>2179</v>
      </c>
    </row>
    <row r="141" spans="1:2">
      <c r="A141" s="18" t="s">
        <v>168</v>
      </c>
      <c r="B141" s="18" t="s">
        <v>2462</v>
      </c>
    </row>
    <row r="142" spans="1:2">
      <c r="A142" s="18" t="s">
        <v>168</v>
      </c>
      <c r="B142" s="18" t="s">
        <v>2293</v>
      </c>
    </row>
    <row r="143" spans="1:2">
      <c r="A143" s="18" t="s">
        <v>169</v>
      </c>
      <c r="B143" s="18" t="s">
        <v>2022</v>
      </c>
    </row>
    <row r="144" spans="1:2">
      <c r="A144" s="18" t="s">
        <v>170</v>
      </c>
      <c r="B144" s="18" t="s">
        <v>2443</v>
      </c>
    </row>
    <row r="145" spans="1:2">
      <c r="A145" s="18" t="s">
        <v>171</v>
      </c>
      <c r="B145" s="18" t="s">
        <v>2311</v>
      </c>
    </row>
    <row r="146" spans="1:2">
      <c r="A146" s="18" t="s">
        <v>172</v>
      </c>
      <c r="B146" s="18" t="s">
        <v>2238</v>
      </c>
    </row>
    <row r="147" spans="1:2">
      <c r="A147" s="18" t="s">
        <v>173</v>
      </c>
      <c r="B147" s="18" t="s">
        <v>2396</v>
      </c>
    </row>
    <row r="148" spans="1:2">
      <c r="A148" s="18" t="s">
        <v>174</v>
      </c>
      <c r="B148" s="18" t="s">
        <v>2324</v>
      </c>
    </row>
    <row r="149" spans="1:2">
      <c r="A149" s="18" t="s">
        <v>174</v>
      </c>
      <c r="B149" s="18" t="s">
        <v>2151</v>
      </c>
    </row>
    <row r="150" spans="1:2">
      <c r="A150" s="18" t="s">
        <v>175</v>
      </c>
      <c r="B150" s="18" t="s">
        <v>2441</v>
      </c>
    </row>
    <row r="151" spans="1:2">
      <c r="A151" s="18" t="s">
        <v>175</v>
      </c>
      <c r="B151" s="18" t="s">
        <v>2096</v>
      </c>
    </row>
    <row r="152" spans="1:2">
      <c r="A152" s="18" t="s">
        <v>175</v>
      </c>
      <c r="B152" s="18" t="s">
        <v>1959</v>
      </c>
    </row>
    <row r="153" spans="1:2">
      <c r="A153" s="18" t="s">
        <v>176</v>
      </c>
      <c r="B153" s="18" t="s">
        <v>1991</v>
      </c>
    </row>
    <row r="154" spans="1:2">
      <c r="A154" s="18" t="s">
        <v>177</v>
      </c>
      <c r="B154" s="18" t="s">
        <v>2367</v>
      </c>
    </row>
    <row r="155" spans="1:2">
      <c r="A155" s="18" t="s">
        <v>178</v>
      </c>
      <c r="B155" s="18" t="s">
        <v>1991</v>
      </c>
    </row>
    <row r="156" spans="1:2">
      <c r="A156" s="18" t="s">
        <v>179</v>
      </c>
      <c r="B156" s="18" t="s">
        <v>1992</v>
      </c>
    </row>
    <row r="157" spans="1:2">
      <c r="A157" s="18" t="s">
        <v>180</v>
      </c>
      <c r="B157" s="18" t="s">
        <v>2064</v>
      </c>
    </row>
    <row r="158" spans="1:2">
      <c r="A158" s="18" t="s">
        <v>180</v>
      </c>
      <c r="B158" s="18" t="s">
        <v>2028</v>
      </c>
    </row>
    <row r="159" spans="1:2">
      <c r="A159" s="18" t="s">
        <v>181</v>
      </c>
      <c r="B159" s="18" t="s">
        <v>2030</v>
      </c>
    </row>
    <row r="160" spans="1:2">
      <c r="A160" s="18" t="s">
        <v>182</v>
      </c>
      <c r="B160" s="18" t="s">
        <v>2145</v>
      </c>
    </row>
    <row r="161" spans="1:2">
      <c r="A161" s="18" t="s">
        <v>183</v>
      </c>
      <c r="B161" s="18" t="s">
        <v>2246</v>
      </c>
    </row>
    <row r="162" spans="1:2">
      <c r="A162" s="18" t="s">
        <v>184</v>
      </c>
      <c r="B162" s="18" t="s">
        <v>2365</v>
      </c>
    </row>
    <row r="163" spans="1:2">
      <c r="A163" s="18" t="s">
        <v>185</v>
      </c>
      <c r="B163" s="18" t="s">
        <v>2365</v>
      </c>
    </row>
    <row r="164" spans="1:2">
      <c r="A164" s="18" t="s">
        <v>186</v>
      </c>
      <c r="B164" s="18" t="s">
        <v>2011</v>
      </c>
    </row>
    <row r="165" spans="1:2">
      <c r="A165" s="18" t="s">
        <v>186</v>
      </c>
      <c r="B165" s="18" t="s">
        <v>2449</v>
      </c>
    </row>
    <row r="166" spans="1:2">
      <c r="A166" s="18" t="s">
        <v>187</v>
      </c>
      <c r="B166" s="18" t="s">
        <v>2005</v>
      </c>
    </row>
    <row r="167" spans="1:2">
      <c r="A167" s="18" t="s">
        <v>188</v>
      </c>
      <c r="B167" s="18" t="s">
        <v>2005</v>
      </c>
    </row>
    <row r="168" spans="1:2">
      <c r="A168" s="18" t="s">
        <v>189</v>
      </c>
      <c r="B168" s="18" t="s">
        <v>2005</v>
      </c>
    </row>
    <row r="169" spans="1:2">
      <c r="A169" s="18" t="s">
        <v>190</v>
      </c>
      <c r="B169" s="18" t="s">
        <v>2005</v>
      </c>
    </row>
    <row r="170" spans="1:2">
      <c r="A170" s="18" t="s">
        <v>191</v>
      </c>
      <c r="B170" s="18" t="s">
        <v>2005</v>
      </c>
    </row>
    <row r="171" spans="1:2">
      <c r="A171" s="18" t="s">
        <v>192</v>
      </c>
      <c r="B171" s="18" t="s">
        <v>2005</v>
      </c>
    </row>
    <row r="172" spans="1:2">
      <c r="A172" s="18" t="s">
        <v>193</v>
      </c>
      <c r="B172" s="18" t="s">
        <v>2333</v>
      </c>
    </row>
    <row r="173" spans="1:2">
      <c r="A173" s="18" t="s">
        <v>194</v>
      </c>
      <c r="B173" s="18" t="s">
        <v>2136</v>
      </c>
    </row>
    <row r="174" spans="1:2">
      <c r="A174" s="18" t="s">
        <v>195</v>
      </c>
      <c r="B174" s="18" t="s">
        <v>1986</v>
      </c>
    </row>
    <row r="175" spans="1:2">
      <c r="A175" s="18" t="s">
        <v>196</v>
      </c>
      <c r="B175" s="18" t="s">
        <v>2495</v>
      </c>
    </row>
    <row r="176" spans="1:2">
      <c r="A176" s="18" t="s">
        <v>197</v>
      </c>
      <c r="B176" s="18" t="s">
        <v>2166</v>
      </c>
    </row>
    <row r="177" spans="1:2">
      <c r="A177" s="18" t="s">
        <v>198</v>
      </c>
      <c r="B177" s="18" t="s">
        <v>2166</v>
      </c>
    </row>
    <row r="178" spans="1:2">
      <c r="A178" s="18" t="s">
        <v>199</v>
      </c>
      <c r="B178" s="18" t="s">
        <v>2172</v>
      </c>
    </row>
    <row r="179" spans="1:2">
      <c r="A179" s="18" t="s">
        <v>200</v>
      </c>
      <c r="B179" s="18" t="s">
        <v>1975</v>
      </c>
    </row>
    <row r="180" spans="1:2">
      <c r="A180" s="18" t="s">
        <v>201</v>
      </c>
      <c r="B180" s="18" t="s">
        <v>2161</v>
      </c>
    </row>
    <row r="181" spans="1:2">
      <c r="A181" s="18" t="s">
        <v>202</v>
      </c>
      <c r="B181" s="18" t="s">
        <v>2054</v>
      </c>
    </row>
    <row r="182" spans="1:2">
      <c r="A182" s="18" t="s">
        <v>202</v>
      </c>
      <c r="B182" s="18" t="s">
        <v>2194</v>
      </c>
    </row>
    <row r="183" spans="1:2">
      <c r="A183" s="18" t="s">
        <v>203</v>
      </c>
      <c r="B183" s="18" t="s">
        <v>1987</v>
      </c>
    </row>
    <row r="184" spans="1:2">
      <c r="A184" s="18" t="s">
        <v>204</v>
      </c>
      <c r="B184" s="18" t="s">
        <v>2196</v>
      </c>
    </row>
    <row r="185" spans="1:2">
      <c r="A185" s="18" t="s">
        <v>205</v>
      </c>
      <c r="B185" s="18" t="s">
        <v>2282</v>
      </c>
    </row>
    <row r="186" spans="1:2">
      <c r="A186" s="18" t="s">
        <v>206</v>
      </c>
      <c r="B186" s="18" t="s">
        <v>2477</v>
      </c>
    </row>
    <row r="187" spans="1:2">
      <c r="A187" s="18" t="s">
        <v>207</v>
      </c>
      <c r="B187" s="18" t="s">
        <v>2378</v>
      </c>
    </row>
    <row r="188" spans="1:2">
      <c r="A188" s="18" t="s">
        <v>208</v>
      </c>
      <c r="B188" s="18" t="s">
        <v>2249</v>
      </c>
    </row>
    <row r="189" spans="1:2">
      <c r="A189" s="18" t="s">
        <v>209</v>
      </c>
      <c r="B189" s="18" t="s">
        <v>1974</v>
      </c>
    </row>
    <row r="190" spans="1:2">
      <c r="A190" s="18" t="s">
        <v>210</v>
      </c>
      <c r="B190" s="18" t="s">
        <v>2152</v>
      </c>
    </row>
    <row r="191" spans="1:2">
      <c r="A191" s="18" t="s">
        <v>211</v>
      </c>
      <c r="B191" s="18" t="s">
        <v>1947</v>
      </c>
    </row>
    <row r="192" spans="1:2">
      <c r="A192" s="18" t="s">
        <v>212</v>
      </c>
      <c r="B192" s="18" t="s">
        <v>2051</v>
      </c>
    </row>
    <row r="193" spans="1:2">
      <c r="A193" s="18" t="s">
        <v>213</v>
      </c>
      <c r="B193" s="18" t="s">
        <v>2329</v>
      </c>
    </row>
    <row r="194" spans="1:2">
      <c r="A194" s="18" t="s">
        <v>214</v>
      </c>
      <c r="B194" s="18" t="s">
        <v>2412</v>
      </c>
    </row>
    <row r="195" spans="1:2">
      <c r="A195" s="18" t="s">
        <v>215</v>
      </c>
      <c r="B195" s="18" t="s">
        <v>2002</v>
      </c>
    </row>
    <row r="196" spans="1:2">
      <c r="A196" s="18" t="s">
        <v>216</v>
      </c>
      <c r="B196" s="18" t="s">
        <v>2227</v>
      </c>
    </row>
    <row r="197" spans="1:2">
      <c r="A197" s="18" t="s">
        <v>217</v>
      </c>
      <c r="B197" s="18" t="s">
        <v>2223</v>
      </c>
    </row>
    <row r="198" spans="1:2">
      <c r="A198" s="18" t="s">
        <v>218</v>
      </c>
      <c r="B198" s="18" t="s">
        <v>2224</v>
      </c>
    </row>
    <row r="199" spans="1:2">
      <c r="A199" s="18" t="s">
        <v>219</v>
      </c>
      <c r="B199" s="18" t="s">
        <v>2225</v>
      </c>
    </row>
    <row r="200" spans="1:2">
      <c r="A200" s="18" t="s">
        <v>220</v>
      </c>
      <c r="B200" s="18" t="s">
        <v>2323</v>
      </c>
    </row>
    <row r="201" spans="1:2">
      <c r="A201" s="18" t="s">
        <v>221</v>
      </c>
      <c r="B201" s="18" t="s">
        <v>1893</v>
      </c>
    </row>
    <row r="202" spans="1:2">
      <c r="A202" s="18" t="s">
        <v>222</v>
      </c>
      <c r="B202" s="18" t="s">
        <v>2453</v>
      </c>
    </row>
    <row r="203" spans="1:2">
      <c r="A203" s="18" t="s">
        <v>223</v>
      </c>
      <c r="B203" s="18" t="s">
        <v>2297</v>
      </c>
    </row>
    <row r="204" spans="1:2">
      <c r="A204" s="18" t="s">
        <v>224</v>
      </c>
      <c r="B204" s="18" t="s">
        <v>1956</v>
      </c>
    </row>
    <row r="205" spans="1:2">
      <c r="A205" s="18" t="s">
        <v>225</v>
      </c>
      <c r="B205" s="18" t="s">
        <v>2002</v>
      </c>
    </row>
    <row r="206" spans="1:2">
      <c r="A206" s="18" t="s">
        <v>226</v>
      </c>
      <c r="B206" s="18" t="s">
        <v>2428</v>
      </c>
    </row>
    <row r="207" spans="1:2">
      <c r="A207" s="18" t="s">
        <v>227</v>
      </c>
      <c r="B207" s="18" t="s">
        <v>2334</v>
      </c>
    </row>
    <row r="208" spans="1:2">
      <c r="A208" s="18" t="s">
        <v>228</v>
      </c>
      <c r="B208" s="18" t="s">
        <v>1989</v>
      </c>
    </row>
    <row r="209" spans="1:2">
      <c r="A209" s="18" t="s">
        <v>229</v>
      </c>
      <c r="B209" s="18" t="s">
        <v>2256</v>
      </c>
    </row>
    <row r="210" spans="1:2">
      <c r="A210" s="18" t="s">
        <v>230</v>
      </c>
      <c r="B210" s="18" t="s">
        <v>2256</v>
      </c>
    </row>
    <row r="211" spans="1:2">
      <c r="A211" s="18" t="s">
        <v>231</v>
      </c>
      <c r="B211" s="18" t="s">
        <v>2228</v>
      </c>
    </row>
    <row r="212" spans="1:2">
      <c r="A212" s="18" t="s">
        <v>232</v>
      </c>
      <c r="B212" s="18" t="s">
        <v>2490</v>
      </c>
    </row>
    <row r="213" spans="1:2">
      <c r="A213" s="18" t="s">
        <v>233</v>
      </c>
      <c r="B213" s="18" t="s">
        <v>2479</v>
      </c>
    </row>
    <row r="214" spans="1:2">
      <c r="A214" s="18" t="s">
        <v>234</v>
      </c>
      <c r="B214" s="18" t="s">
        <v>2105</v>
      </c>
    </row>
    <row r="215" spans="1:2">
      <c r="A215" s="18" t="s">
        <v>235</v>
      </c>
      <c r="B215" s="18" t="s">
        <v>1961</v>
      </c>
    </row>
    <row r="216" spans="1:2">
      <c r="A216" s="18" t="s">
        <v>235</v>
      </c>
      <c r="B216" s="18" t="s">
        <v>2243</v>
      </c>
    </row>
    <row r="217" spans="1:2">
      <c r="A217" s="18" t="s">
        <v>236</v>
      </c>
      <c r="B217" s="18" t="s">
        <v>2014</v>
      </c>
    </row>
    <row r="218" spans="1:2">
      <c r="A218" s="18" t="s">
        <v>237</v>
      </c>
      <c r="B218" s="18" t="s">
        <v>2206</v>
      </c>
    </row>
    <row r="219" spans="1:2">
      <c r="A219" s="18" t="s">
        <v>238</v>
      </c>
      <c r="B219" s="18" t="s">
        <v>2475</v>
      </c>
    </row>
    <row r="220" spans="1:2">
      <c r="A220" s="18" t="s">
        <v>239</v>
      </c>
      <c r="B220" s="18" t="s">
        <v>2128</v>
      </c>
    </row>
    <row r="221" spans="1:2">
      <c r="A221" s="18" t="s">
        <v>240</v>
      </c>
      <c r="B221" s="18" t="s">
        <v>2045</v>
      </c>
    </row>
    <row r="222" spans="1:2">
      <c r="A222" s="18" t="s">
        <v>241</v>
      </c>
      <c r="B222" s="18" t="s">
        <v>2281</v>
      </c>
    </row>
    <row r="223" spans="1:2">
      <c r="A223" s="18" t="s">
        <v>242</v>
      </c>
      <c r="B223" s="18" t="s">
        <v>2450</v>
      </c>
    </row>
    <row r="224" spans="1:2">
      <c r="A224" s="18" t="s">
        <v>243</v>
      </c>
      <c r="B224" s="18" t="s">
        <v>2416</v>
      </c>
    </row>
    <row r="225" spans="1:2">
      <c r="A225" s="18" t="s">
        <v>244</v>
      </c>
      <c r="B225" s="18" t="s">
        <v>2107</v>
      </c>
    </row>
    <row r="226" spans="1:2">
      <c r="A226" s="18" t="s">
        <v>244</v>
      </c>
      <c r="B226" s="18" t="s">
        <v>1917</v>
      </c>
    </row>
    <row r="227" spans="1:2">
      <c r="A227" s="18" t="s">
        <v>245</v>
      </c>
      <c r="B227" s="18" t="s">
        <v>2359</v>
      </c>
    </row>
    <row r="228" spans="1:2">
      <c r="A228" s="18" t="s">
        <v>246</v>
      </c>
      <c r="B228" s="18" t="s">
        <v>1971</v>
      </c>
    </row>
    <row r="229" spans="1:2">
      <c r="A229" s="18" t="s">
        <v>247</v>
      </c>
      <c r="B229" s="18" t="s">
        <v>2452</v>
      </c>
    </row>
    <row r="230" spans="1:2">
      <c r="A230" s="18" t="s">
        <v>248</v>
      </c>
      <c r="B230" s="18" t="s">
        <v>2420</v>
      </c>
    </row>
    <row r="231" spans="1:2">
      <c r="A231" s="18" t="s">
        <v>249</v>
      </c>
      <c r="B231" s="18" t="s">
        <v>2414</v>
      </c>
    </row>
    <row r="232" spans="1:2">
      <c r="A232" s="18" t="s">
        <v>250</v>
      </c>
      <c r="B232" s="18" t="s">
        <v>2408</v>
      </c>
    </row>
    <row r="233" spans="1:2">
      <c r="A233" s="18" t="s">
        <v>251</v>
      </c>
      <c r="B233" s="18" t="s">
        <v>2411</v>
      </c>
    </row>
    <row r="234" spans="1:2">
      <c r="A234" s="18" t="s">
        <v>252</v>
      </c>
      <c r="B234" s="18" t="s">
        <v>2413</v>
      </c>
    </row>
    <row r="235" spans="1:2">
      <c r="A235" s="18" t="s">
        <v>253</v>
      </c>
      <c r="B235" s="18" t="s">
        <v>2278</v>
      </c>
    </row>
    <row r="236" spans="1:2">
      <c r="A236" s="18" t="s">
        <v>254</v>
      </c>
      <c r="B236" s="18" t="s">
        <v>1916</v>
      </c>
    </row>
    <row r="237" spans="1:2">
      <c r="A237" s="18" t="s">
        <v>255</v>
      </c>
      <c r="B237" s="18" t="s">
        <v>2327</v>
      </c>
    </row>
    <row r="238" spans="1:2">
      <c r="A238" s="18" t="s">
        <v>256</v>
      </c>
      <c r="B238" s="18" t="s">
        <v>2451</v>
      </c>
    </row>
    <row r="239" spans="1:2">
      <c r="A239" s="18" t="s">
        <v>257</v>
      </c>
      <c r="B239" s="18" t="s">
        <v>2001</v>
      </c>
    </row>
    <row r="240" spans="1:2">
      <c r="A240" s="18" t="s">
        <v>258</v>
      </c>
      <c r="B240" s="18" t="s">
        <v>2061</v>
      </c>
    </row>
    <row r="241" spans="1:2">
      <c r="A241" s="18" t="s">
        <v>259</v>
      </c>
      <c r="B241" s="18" t="s">
        <v>2401</v>
      </c>
    </row>
    <row r="242" spans="1:2">
      <c r="A242" s="18" t="s">
        <v>260</v>
      </c>
      <c r="B242" s="18" t="s">
        <v>1988</v>
      </c>
    </row>
    <row r="243" spans="1:2">
      <c r="A243" s="18" t="s">
        <v>260</v>
      </c>
      <c r="B243" s="18" t="s">
        <v>2128</v>
      </c>
    </row>
    <row r="244" spans="1:2">
      <c r="A244" s="18" t="s">
        <v>261</v>
      </c>
      <c r="B244" s="18" t="s">
        <v>2007</v>
      </c>
    </row>
    <row r="245" spans="1:2">
      <c r="A245" s="18" t="s">
        <v>262</v>
      </c>
      <c r="B245" s="18" t="s">
        <v>1929</v>
      </c>
    </row>
    <row r="246" spans="1:2">
      <c r="A246" s="18" t="s">
        <v>263</v>
      </c>
      <c r="B246" s="18" t="s">
        <v>2399</v>
      </c>
    </row>
    <row r="247" spans="1:2">
      <c r="A247" s="18" t="s">
        <v>264</v>
      </c>
      <c r="B247" s="18" t="s">
        <v>2471</v>
      </c>
    </row>
    <row r="248" spans="1:2">
      <c r="A248" s="18" t="s">
        <v>265</v>
      </c>
      <c r="B248" s="18" t="s">
        <v>2318</v>
      </c>
    </row>
    <row r="249" spans="1:2">
      <c r="A249" s="18" t="s">
        <v>266</v>
      </c>
      <c r="B249" s="18" t="s">
        <v>1918</v>
      </c>
    </row>
    <row r="250" spans="1:2">
      <c r="A250" s="18" t="s">
        <v>266</v>
      </c>
      <c r="B250" s="18" t="s">
        <v>2096</v>
      </c>
    </row>
    <row r="251" spans="1:2">
      <c r="A251" s="18" t="s">
        <v>267</v>
      </c>
      <c r="B251" s="18" t="s">
        <v>2473</v>
      </c>
    </row>
    <row r="252" spans="1:2">
      <c r="A252" s="18" t="s">
        <v>268</v>
      </c>
      <c r="B252" s="18" t="s">
        <v>2037</v>
      </c>
    </row>
    <row r="253" spans="1:2">
      <c r="A253" s="18" t="s">
        <v>269</v>
      </c>
      <c r="B253" s="18" t="s">
        <v>1963</v>
      </c>
    </row>
    <row r="254" spans="1:2">
      <c r="A254" s="18" t="s">
        <v>270</v>
      </c>
      <c r="B254" s="18" t="s">
        <v>2270</v>
      </c>
    </row>
    <row r="255" spans="1:2">
      <c r="A255" s="18" t="s">
        <v>271</v>
      </c>
      <c r="B255" s="18" t="s">
        <v>2270</v>
      </c>
    </row>
    <row r="256" spans="1:2">
      <c r="A256" s="18" t="s">
        <v>272</v>
      </c>
      <c r="B256" s="18" t="s">
        <v>2128</v>
      </c>
    </row>
    <row r="257" spans="1:2">
      <c r="A257" s="18" t="s">
        <v>273</v>
      </c>
      <c r="B257" s="18" t="s">
        <v>1995</v>
      </c>
    </row>
    <row r="258" spans="1:2">
      <c r="A258" s="18" t="s">
        <v>274</v>
      </c>
      <c r="B258" s="18" t="s">
        <v>1995</v>
      </c>
    </row>
    <row r="259" spans="1:2">
      <c r="A259" s="18" t="s">
        <v>275</v>
      </c>
      <c r="B259" s="18" t="s">
        <v>1995</v>
      </c>
    </row>
    <row r="260" spans="1:2">
      <c r="A260" s="18" t="s">
        <v>276</v>
      </c>
      <c r="B260" s="18" t="s">
        <v>1995</v>
      </c>
    </row>
    <row r="261" spans="1:2">
      <c r="A261" s="18" t="s">
        <v>277</v>
      </c>
      <c r="B261" s="18" t="s">
        <v>1995</v>
      </c>
    </row>
    <row r="262" spans="1:2">
      <c r="A262" s="18" t="s">
        <v>278</v>
      </c>
      <c r="B262" s="18" t="s">
        <v>2017</v>
      </c>
    </row>
    <row r="263" spans="1:2">
      <c r="A263" s="18" t="s">
        <v>279</v>
      </c>
      <c r="B263" s="18" t="s">
        <v>2017</v>
      </c>
    </row>
    <row r="264" spans="1:2">
      <c r="A264" s="18" t="s">
        <v>280</v>
      </c>
      <c r="B264" s="18" t="s">
        <v>2017</v>
      </c>
    </row>
    <row r="265" spans="1:2">
      <c r="A265" s="18" t="s">
        <v>281</v>
      </c>
      <c r="B265" s="18" t="s">
        <v>2017</v>
      </c>
    </row>
    <row r="266" spans="1:2">
      <c r="A266" s="18" t="s">
        <v>282</v>
      </c>
      <c r="B266" s="18" t="s">
        <v>1940</v>
      </c>
    </row>
    <row r="267" spans="1:2">
      <c r="A267" s="18" t="s">
        <v>283</v>
      </c>
      <c r="B267" s="18" t="s">
        <v>1962</v>
      </c>
    </row>
    <row r="268" spans="1:2">
      <c r="A268" s="18" t="s">
        <v>284</v>
      </c>
      <c r="B268" s="18" t="s">
        <v>2483</v>
      </c>
    </row>
    <row r="269" spans="1:2">
      <c r="A269" s="18" t="s">
        <v>285</v>
      </c>
      <c r="B269" s="18" t="s">
        <v>2240</v>
      </c>
    </row>
    <row r="270" spans="1:2">
      <c r="A270" s="18" t="s">
        <v>285</v>
      </c>
      <c r="B270" s="18" t="s">
        <v>2096</v>
      </c>
    </row>
    <row r="271" spans="1:2">
      <c r="A271" s="18" t="s">
        <v>286</v>
      </c>
      <c r="B271" s="18" t="s">
        <v>2240</v>
      </c>
    </row>
    <row r="272" spans="1:2">
      <c r="A272" s="18" t="s">
        <v>286</v>
      </c>
      <c r="B272" s="18" t="s">
        <v>2096</v>
      </c>
    </row>
    <row r="273" spans="1:2">
      <c r="A273" s="18" t="s">
        <v>287</v>
      </c>
      <c r="B273" s="18" t="s">
        <v>2081</v>
      </c>
    </row>
    <row r="274" spans="1:2">
      <c r="A274" s="18" t="s">
        <v>287</v>
      </c>
      <c r="B274" s="18" t="s">
        <v>2128</v>
      </c>
    </row>
    <row r="275" spans="1:2">
      <c r="A275" s="18" t="s">
        <v>287</v>
      </c>
      <c r="B275" s="18" t="s">
        <v>1945</v>
      </c>
    </row>
    <row r="276" spans="1:2">
      <c r="A276" s="18" t="s">
        <v>288</v>
      </c>
      <c r="B276" s="18" t="s">
        <v>2345</v>
      </c>
    </row>
    <row r="277" spans="1:2">
      <c r="A277" s="18" t="s">
        <v>289</v>
      </c>
      <c r="B277" s="18" t="s">
        <v>2345</v>
      </c>
    </row>
    <row r="278" spans="1:2">
      <c r="A278" s="18" t="s">
        <v>290</v>
      </c>
      <c r="B278" s="18" t="s">
        <v>2345</v>
      </c>
    </row>
    <row r="279" spans="1:2">
      <c r="A279" s="18" t="s">
        <v>291</v>
      </c>
      <c r="B279" s="18" t="s">
        <v>2360</v>
      </c>
    </row>
    <row r="280" spans="1:2">
      <c r="A280" s="18" t="s">
        <v>291</v>
      </c>
      <c r="B280" s="18" t="s">
        <v>2258</v>
      </c>
    </row>
    <row r="281" spans="1:2">
      <c r="A281" s="18" t="s">
        <v>292</v>
      </c>
      <c r="B281" s="18" t="s">
        <v>1944</v>
      </c>
    </row>
    <row r="282" spans="1:2">
      <c r="A282" s="18" t="s">
        <v>292</v>
      </c>
      <c r="B282" s="18" t="s">
        <v>2349</v>
      </c>
    </row>
    <row r="283" spans="1:2">
      <c r="A283" s="18" t="s">
        <v>292</v>
      </c>
      <c r="B283" s="18" t="s">
        <v>2013</v>
      </c>
    </row>
    <row r="284" spans="1:2">
      <c r="A284" s="18" t="s">
        <v>293</v>
      </c>
      <c r="B284" s="18" t="s">
        <v>2388</v>
      </c>
    </row>
    <row r="285" spans="1:2">
      <c r="A285" s="18" t="s">
        <v>294</v>
      </c>
      <c r="B285" s="18" t="s">
        <v>2392</v>
      </c>
    </row>
    <row r="286" spans="1:2">
      <c r="A286" s="18" t="s">
        <v>295</v>
      </c>
      <c r="B286" s="18" t="s">
        <v>2016</v>
      </c>
    </row>
    <row r="287" spans="1:2">
      <c r="A287" s="18" t="s">
        <v>1261</v>
      </c>
      <c r="B287" s="18" t="s">
        <v>2395</v>
      </c>
    </row>
    <row r="288" spans="1:2">
      <c r="A288" s="18" t="s">
        <v>296</v>
      </c>
      <c r="B288" s="18" t="s">
        <v>2271</v>
      </c>
    </row>
    <row r="289" spans="1:2">
      <c r="A289" s="18" t="s">
        <v>297</v>
      </c>
      <c r="B289" s="18" t="s">
        <v>2170</v>
      </c>
    </row>
    <row r="290" spans="1:2">
      <c r="A290" s="18" t="s">
        <v>298</v>
      </c>
      <c r="B290" s="18" t="s">
        <v>2302</v>
      </c>
    </row>
    <row r="291" spans="1:2">
      <c r="A291" s="18" t="s">
        <v>299</v>
      </c>
      <c r="B291" s="18" t="s">
        <v>2291</v>
      </c>
    </row>
    <row r="292" spans="1:2">
      <c r="A292" s="18" t="s">
        <v>299</v>
      </c>
      <c r="B292" s="18" t="s">
        <v>2372</v>
      </c>
    </row>
    <row r="293" spans="1:2">
      <c r="A293" s="18" t="s">
        <v>300</v>
      </c>
      <c r="B293" s="18" t="s">
        <v>2368</v>
      </c>
    </row>
    <row r="294" spans="1:2">
      <c r="A294" s="18" t="s">
        <v>301</v>
      </c>
      <c r="B294" s="18" t="s">
        <v>2181</v>
      </c>
    </row>
    <row r="295" spans="1:2">
      <c r="A295" s="18" t="s">
        <v>302</v>
      </c>
      <c r="B295" s="18" t="s">
        <v>2156</v>
      </c>
    </row>
    <row r="296" spans="1:2">
      <c r="A296" s="18" t="s">
        <v>303</v>
      </c>
      <c r="B296" s="18" t="s">
        <v>2226</v>
      </c>
    </row>
    <row r="297" spans="1:2">
      <c r="A297" s="18" t="s">
        <v>304</v>
      </c>
      <c r="B297" s="18" t="s">
        <v>2348</v>
      </c>
    </row>
    <row r="298" spans="1:2">
      <c r="A298" s="18" t="s">
        <v>305</v>
      </c>
      <c r="B298" s="18" t="s">
        <v>2348</v>
      </c>
    </row>
    <row r="299" spans="1:2">
      <c r="A299" s="18" t="s">
        <v>306</v>
      </c>
      <c r="B299" s="18" t="s">
        <v>2421</v>
      </c>
    </row>
    <row r="300" spans="1:2">
      <c r="A300" s="18" t="s">
        <v>307</v>
      </c>
      <c r="B300" s="18" t="s">
        <v>2369</v>
      </c>
    </row>
    <row r="301" spans="1:2">
      <c r="A301" s="18" t="s">
        <v>308</v>
      </c>
      <c r="B301" s="18" t="s">
        <v>2369</v>
      </c>
    </row>
    <row r="302" spans="1:2">
      <c r="A302" s="18" t="s">
        <v>309</v>
      </c>
      <c r="B302" s="18" t="s">
        <v>2207</v>
      </c>
    </row>
    <row r="303" spans="1:2">
      <c r="A303" s="18" t="s">
        <v>310</v>
      </c>
      <c r="B303" s="18" t="s">
        <v>2370</v>
      </c>
    </row>
    <row r="304" spans="1:2">
      <c r="A304" s="18" t="s">
        <v>311</v>
      </c>
      <c r="B304" s="18" t="s">
        <v>2097</v>
      </c>
    </row>
    <row r="305" spans="1:2">
      <c r="A305" s="18" t="s">
        <v>312</v>
      </c>
      <c r="B305" s="18" t="s">
        <v>1980</v>
      </c>
    </row>
    <row r="306" spans="1:2">
      <c r="A306" s="18" t="s">
        <v>313</v>
      </c>
      <c r="B306" s="18" t="s">
        <v>2444</v>
      </c>
    </row>
    <row r="307" spans="1:2">
      <c r="A307" s="18" t="s">
        <v>313</v>
      </c>
      <c r="B307" s="18" t="s">
        <v>2067</v>
      </c>
    </row>
    <row r="308" spans="1:2">
      <c r="A308" s="18" t="s">
        <v>313</v>
      </c>
      <c r="B308" s="18" t="s">
        <v>2350</v>
      </c>
    </row>
    <row r="309" spans="1:2">
      <c r="A309" s="18" t="s">
        <v>314</v>
      </c>
      <c r="B309" s="18" t="s">
        <v>2463</v>
      </c>
    </row>
    <row r="310" spans="1:2">
      <c r="A310" s="18" t="s">
        <v>314</v>
      </c>
      <c r="B310" s="18" t="s">
        <v>2435</v>
      </c>
    </row>
    <row r="311" spans="1:2">
      <c r="A311" s="18" t="s">
        <v>314</v>
      </c>
      <c r="B311" s="18" t="s">
        <v>1928</v>
      </c>
    </row>
    <row r="312" spans="1:2">
      <c r="A312" s="18" t="s">
        <v>314</v>
      </c>
      <c r="B312" s="18" t="s">
        <v>2210</v>
      </c>
    </row>
    <row r="313" spans="1:2">
      <c r="A313" s="18" t="s">
        <v>314</v>
      </c>
      <c r="B313" s="18" t="s">
        <v>2201</v>
      </c>
    </row>
    <row r="314" spans="1:2">
      <c r="A314" s="18" t="s">
        <v>314</v>
      </c>
      <c r="B314" s="18" t="s">
        <v>1934</v>
      </c>
    </row>
    <row r="315" spans="1:2">
      <c r="A315" s="18" t="s">
        <v>314</v>
      </c>
      <c r="B315" s="18" t="s">
        <v>2340</v>
      </c>
    </row>
    <row r="316" spans="1:2">
      <c r="A316" s="18" t="s">
        <v>314</v>
      </c>
      <c r="B316" s="18" t="s">
        <v>2377</v>
      </c>
    </row>
    <row r="317" spans="1:2">
      <c r="A317" s="18" t="s">
        <v>315</v>
      </c>
      <c r="B317" s="18" t="s">
        <v>2026</v>
      </c>
    </row>
    <row r="318" spans="1:2">
      <c r="A318" s="18" t="s">
        <v>315</v>
      </c>
      <c r="B318" s="18" t="s">
        <v>1928</v>
      </c>
    </row>
    <row r="319" spans="1:2">
      <c r="A319" s="18" t="s">
        <v>315</v>
      </c>
      <c r="B319" s="18" t="s">
        <v>2167</v>
      </c>
    </row>
    <row r="320" spans="1:2">
      <c r="A320" s="18" t="s">
        <v>315</v>
      </c>
      <c r="B320" s="18" t="s">
        <v>2312</v>
      </c>
    </row>
    <row r="321" spans="1:2">
      <c r="A321" s="18" t="s">
        <v>315</v>
      </c>
      <c r="B321" s="18" t="s">
        <v>2456</v>
      </c>
    </row>
    <row r="322" spans="1:2">
      <c r="A322" s="18" t="s">
        <v>316</v>
      </c>
      <c r="B322" s="18" t="s">
        <v>2448</v>
      </c>
    </row>
    <row r="323" spans="1:2">
      <c r="A323" s="18" t="s">
        <v>316</v>
      </c>
      <c r="B323" s="18" t="s">
        <v>1927</v>
      </c>
    </row>
    <row r="324" spans="1:2">
      <c r="A324" s="18" t="s">
        <v>316</v>
      </c>
      <c r="B324" s="18" t="s">
        <v>2151</v>
      </c>
    </row>
    <row r="325" spans="1:2">
      <c r="A325" s="18" t="s">
        <v>317</v>
      </c>
      <c r="B325" s="18" t="s">
        <v>2248</v>
      </c>
    </row>
    <row r="326" spans="1:2">
      <c r="A326" s="18" t="s">
        <v>317</v>
      </c>
      <c r="B326" s="18" t="s">
        <v>2155</v>
      </c>
    </row>
    <row r="327" spans="1:2">
      <c r="A327" s="18" t="s">
        <v>317</v>
      </c>
      <c r="B327" s="18" t="s">
        <v>2117</v>
      </c>
    </row>
    <row r="328" spans="1:2">
      <c r="A328" s="18" t="s">
        <v>318</v>
      </c>
      <c r="B328" s="18" t="s">
        <v>2469</v>
      </c>
    </row>
    <row r="329" spans="1:2">
      <c r="A329" s="18" t="s">
        <v>319</v>
      </c>
      <c r="B329" s="18" t="s">
        <v>2284</v>
      </c>
    </row>
    <row r="330" spans="1:2">
      <c r="A330" s="18" t="s">
        <v>319</v>
      </c>
      <c r="B330" s="18" t="s">
        <v>2286</v>
      </c>
    </row>
    <row r="331" spans="1:2">
      <c r="A331" s="18" t="s">
        <v>320</v>
      </c>
      <c r="B331" s="18" t="s">
        <v>2494</v>
      </c>
    </row>
    <row r="332" spans="1:2">
      <c r="A332" s="18" t="s">
        <v>321</v>
      </c>
      <c r="B332" s="18" t="s">
        <v>2424</v>
      </c>
    </row>
    <row r="333" spans="1:2">
      <c r="A333" s="18" t="s">
        <v>322</v>
      </c>
      <c r="B333" s="18" t="s">
        <v>2134</v>
      </c>
    </row>
    <row r="334" spans="1:2">
      <c r="A334" s="18" t="s">
        <v>323</v>
      </c>
      <c r="B334" s="18" t="s">
        <v>2441</v>
      </c>
    </row>
    <row r="335" spans="1:2">
      <c r="A335" s="18" t="s">
        <v>323</v>
      </c>
      <c r="B335" s="18" t="s">
        <v>2015</v>
      </c>
    </row>
    <row r="336" spans="1:2">
      <c r="A336" s="18" t="s">
        <v>324</v>
      </c>
      <c r="B336" s="18" t="s">
        <v>2200</v>
      </c>
    </row>
    <row r="337" spans="1:2">
      <c r="A337" s="18" t="s">
        <v>325</v>
      </c>
      <c r="B337" s="18" t="s">
        <v>2493</v>
      </c>
    </row>
    <row r="338" spans="1:2">
      <c r="A338" s="18" t="s">
        <v>326</v>
      </c>
      <c r="B338" s="18" t="s">
        <v>2400</v>
      </c>
    </row>
    <row r="339" spans="1:2">
      <c r="A339" s="18" t="s">
        <v>326</v>
      </c>
      <c r="B339" s="18" t="s">
        <v>2122</v>
      </c>
    </row>
    <row r="340" spans="1:2">
      <c r="A340" s="18" t="s">
        <v>327</v>
      </c>
      <c r="B340" s="18" t="s">
        <v>2016</v>
      </c>
    </row>
    <row r="341" spans="1:2">
      <c r="A341" s="18" t="s">
        <v>328</v>
      </c>
      <c r="B341" s="18" t="s">
        <v>2211</v>
      </c>
    </row>
    <row r="342" spans="1:2">
      <c r="A342" s="18" t="s">
        <v>329</v>
      </c>
      <c r="B342" s="18" t="s">
        <v>2253</v>
      </c>
    </row>
    <row r="343" spans="1:2">
      <c r="A343" s="18" t="s">
        <v>330</v>
      </c>
      <c r="B343" s="18" t="s">
        <v>2178</v>
      </c>
    </row>
    <row r="344" spans="1:2">
      <c r="A344" s="18" t="s">
        <v>330</v>
      </c>
      <c r="B344" s="18" t="s">
        <v>2459</v>
      </c>
    </row>
    <row r="345" spans="1:2">
      <c r="A345" s="18" t="s">
        <v>331</v>
      </c>
      <c r="B345" s="18" t="s">
        <v>2017</v>
      </c>
    </row>
    <row r="346" spans="1:2">
      <c r="A346" s="18" t="s">
        <v>332</v>
      </c>
      <c r="B346" s="18" t="s">
        <v>2319</v>
      </c>
    </row>
    <row r="347" spans="1:2">
      <c r="A347" s="18" t="s">
        <v>333</v>
      </c>
      <c r="B347" s="18" t="s">
        <v>2371</v>
      </c>
    </row>
    <row r="348" spans="1:2">
      <c r="A348" s="18" t="s">
        <v>334</v>
      </c>
      <c r="B348" s="18" t="s">
        <v>2016</v>
      </c>
    </row>
    <row r="349" spans="1:2">
      <c r="A349" s="18" t="s">
        <v>335</v>
      </c>
      <c r="B349" s="18" t="s">
        <v>2091</v>
      </c>
    </row>
    <row r="350" spans="1:2">
      <c r="A350" s="18" t="s">
        <v>335</v>
      </c>
      <c r="B350" s="18" t="s">
        <v>2434</v>
      </c>
    </row>
    <row r="351" spans="1:2">
      <c r="A351" s="18" t="s">
        <v>336</v>
      </c>
      <c r="B351" s="18" t="s">
        <v>2292</v>
      </c>
    </row>
    <row r="352" spans="1:2">
      <c r="A352" s="18" t="s">
        <v>337</v>
      </c>
      <c r="B352" s="18" t="s">
        <v>1948</v>
      </c>
    </row>
    <row r="353" spans="1:2">
      <c r="A353" s="18" t="s">
        <v>337</v>
      </c>
      <c r="B353" s="18" t="s">
        <v>2147</v>
      </c>
    </row>
    <row r="354" spans="1:2">
      <c r="A354" s="18" t="s">
        <v>338</v>
      </c>
      <c r="B354" s="18" t="s">
        <v>2016</v>
      </c>
    </row>
    <row r="355" spans="1:2">
      <c r="A355" s="18" t="s">
        <v>339</v>
      </c>
      <c r="B355" s="18" t="s">
        <v>1964</v>
      </c>
    </row>
    <row r="356" spans="1:2">
      <c r="A356" s="18" t="s">
        <v>340</v>
      </c>
      <c r="B356" s="18" t="s">
        <v>2245</v>
      </c>
    </row>
    <row r="357" spans="1:2">
      <c r="A357" s="18" t="s">
        <v>341</v>
      </c>
      <c r="B357" s="18" t="s">
        <v>2079</v>
      </c>
    </row>
    <row r="358" spans="1:2">
      <c r="A358" s="18" t="s">
        <v>342</v>
      </c>
      <c r="B358" s="18" t="s">
        <v>2339</v>
      </c>
    </row>
    <row r="359" spans="1:2">
      <c r="A359" s="18" t="s">
        <v>342</v>
      </c>
      <c r="B359" s="18" t="s">
        <v>2081</v>
      </c>
    </row>
    <row r="360" spans="1:2">
      <c r="A360" s="18" t="s">
        <v>343</v>
      </c>
      <c r="B360" s="18" t="s">
        <v>2305</v>
      </c>
    </row>
    <row r="361" spans="1:2">
      <c r="A361" s="18" t="s">
        <v>344</v>
      </c>
      <c r="B361" s="18" t="s">
        <v>2232</v>
      </c>
    </row>
    <row r="362" spans="1:2">
      <c r="A362" s="18" t="s">
        <v>345</v>
      </c>
      <c r="B362" s="18" t="s">
        <v>2255</v>
      </c>
    </row>
    <row r="363" spans="1:2">
      <c r="A363" s="18" t="s">
        <v>346</v>
      </c>
      <c r="B363" s="18" t="s">
        <v>2180</v>
      </c>
    </row>
    <row r="364" spans="1:2">
      <c r="A364" s="18" t="s">
        <v>347</v>
      </c>
      <c r="B364" s="18" t="s">
        <v>2298</v>
      </c>
    </row>
    <row r="365" spans="1:2">
      <c r="A365" s="18" t="s">
        <v>348</v>
      </c>
      <c r="B365" s="18" t="s">
        <v>2304</v>
      </c>
    </row>
    <row r="366" spans="1:2">
      <c r="A366" s="18" t="s">
        <v>349</v>
      </c>
      <c r="B366" s="18" t="s">
        <v>1915</v>
      </c>
    </row>
    <row r="367" spans="1:2">
      <c r="A367" s="18" t="s">
        <v>350</v>
      </c>
      <c r="B367" s="18" t="s">
        <v>2126</v>
      </c>
    </row>
    <row r="368" spans="1:2">
      <c r="A368" s="18" t="s">
        <v>351</v>
      </c>
      <c r="B368" s="18" t="s">
        <v>2020</v>
      </c>
    </row>
    <row r="369" spans="1:2">
      <c r="A369" s="18" t="s">
        <v>351</v>
      </c>
      <c r="B369" s="18" t="s">
        <v>2220</v>
      </c>
    </row>
    <row r="370" spans="1:2">
      <c r="A370" s="18" t="s">
        <v>351</v>
      </c>
      <c r="B370" s="18" t="s">
        <v>2310</v>
      </c>
    </row>
    <row r="371" spans="1:2">
      <c r="A371" s="18" t="s">
        <v>352</v>
      </c>
      <c r="B371" s="18" t="s">
        <v>2077</v>
      </c>
    </row>
    <row r="372" spans="1:2">
      <c r="A372" s="18" t="s">
        <v>352</v>
      </c>
      <c r="B372" s="18" t="s">
        <v>1902</v>
      </c>
    </row>
    <row r="373" spans="1:2">
      <c r="A373" s="18" t="s">
        <v>353</v>
      </c>
      <c r="B373" s="18" t="s">
        <v>2133</v>
      </c>
    </row>
    <row r="374" spans="1:2">
      <c r="A374" s="18" t="s">
        <v>353</v>
      </c>
      <c r="B374" s="18" t="s">
        <v>2044</v>
      </c>
    </row>
    <row r="375" spans="1:2">
      <c r="A375" s="18" t="s">
        <v>354</v>
      </c>
      <c r="B375" s="18" t="s">
        <v>2443</v>
      </c>
    </row>
    <row r="376" spans="1:2">
      <c r="A376" s="18" t="s">
        <v>354</v>
      </c>
      <c r="B376" s="18" t="s">
        <v>2438</v>
      </c>
    </row>
    <row r="377" spans="1:2">
      <c r="A377" s="18" t="s">
        <v>354</v>
      </c>
      <c r="B377" s="18" t="s">
        <v>2269</v>
      </c>
    </row>
    <row r="378" spans="1:2">
      <c r="A378" s="18" t="s">
        <v>354</v>
      </c>
      <c r="B378" s="18" t="s">
        <v>2442</v>
      </c>
    </row>
    <row r="379" spans="1:2">
      <c r="A379" s="18" t="s">
        <v>354</v>
      </c>
      <c r="B379" s="18" t="s">
        <v>2188</v>
      </c>
    </row>
    <row r="380" spans="1:2">
      <c r="A380" s="18" t="s">
        <v>354</v>
      </c>
      <c r="B380" s="18" t="s">
        <v>2221</v>
      </c>
    </row>
    <row r="381" spans="1:2">
      <c r="A381" s="18" t="s">
        <v>355</v>
      </c>
      <c r="B381" s="18" t="s">
        <v>2442</v>
      </c>
    </row>
    <row r="382" spans="1:2">
      <c r="A382" s="18" t="s">
        <v>355</v>
      </c>
      <c r="B382" s="18" t="s">
        <v>2086</v>
      </c>
    </row>
    <row r="383" spans="1:2">
      <c r="A383" s="18" t="s">
        <v>355</v>
      </c>
      <c r="B383" s="18" t="s">
        <v>2391</v>
      </c>
    </row>
    <row r="384" spans="1:2">
      <c r="A384" s="18" t="s">
        <v>355</v>
      </c>
      <c r="B384" s="18" t="s">
        <v>1835</v>
      </c>
    </row>
    <row r="385" spans="1:2">
      <c r="A385" s="18" t="s">
        <v>356</v>
      </c>
      <c r="B385" s="18" t="s">
        <v>2437</v>
      </c>
    </row>
    <row r="386" spans="1:2">
      <c r="A386" s="18" t="s">
        <v>356</v>
      </c>
      <c r="B386" s="18" t="s">
        <v>2440</v>
      </c>
    </row>
    <row r="387" spans="1:2">
      <c r="A387" s="18" t="s">
        <v>356</v>
      </c>
      <c r="B387" s="18" t="s">
        <v>2173</v>
      </c>
    </row>
    <row r="388" spans="1:2">
      <c r="A388" s="18" t="s">
        <v>357</v>
      </c>
      <c r="B388" s="18" t="s">
        <v>2489</v>
      </c>
    </row>
    <row r="389" spans="1:2">
      <c r="A389" s="18" t="s">
        <v>357</v>
      </c>
      <c r="B389" s="18" t="s">
        <v>2371</v>
      </c>
    </row>
    <row r="390" spans="1:2">
      <c r="A390" s="18" t="s">
        <v>357</v>
      </c>
      <c r="B390" s="18" t="s">
        <v>2277</v>
      </c>
    </row>
    <row r="391" spans="1:2">
      <c r="A391" s="18" t="s">
        <v>358</v>
      </c>
      <c r="B391" s="18" t="s">
        <v>2070</v>
      </c>
    </row>
    <row r="392" spans="1:2">
      <c r="A392" s="18" t="s">
        <v>358</v>
      </c>
      <c r="B392" s="18" t="s">
        <v>2171</v>
      </c>
    </row>
    <row r="393" spans="1:2">
      <c r="A393" s="18" t="s">
        <v>358</v>
      </c>
      <c r="B393" s="18" t="s">
        <v>2362</v>
      </c>
    </row>
    <row r="394" spans="1:2">
      <c r="A394" s="18" t="s">
        <v>358</v>
      </c>
      <c r="B394" s="18" t="s">
        <v>2010</v>
      </c>
    </row>
    <row r="395" spans="1:2">
      <c r="A395" s="18" t="s">
        <v>358</v>
      </c>
      <c r="B395" s="18" t="s">
        <v>2052</v>
      </c>
    </row>
    <row r="396" spans="1:2">
      <c r="A396" s="18" t="s">
        <v>359</v>
      </c>
      <c r="B396" s="18" t="s">
        <v>2468</v>
      </c>
    </row>
    <row r="397" spans="1:2">
      <c r="A397" s="18" t="s">
        <v>360</v>
      </c>
      <c r="B397" s="18" t="s">
        <v>2467</v>
      </c>
    </row>
    <row r="398" spans="1:2">
      <c r="A398" s="18" t="s">
        <v>360</v>
      </c>
      <c r="B398" s="18" t="s">
        <v>2171</v>
      </c>
    </row>
    <row r="399" spans="1:2">
      <c r="A399" s="18" t="s">
        <v>360</v>
      </c>
      <c r="B399" s="18" t="s">
        <v>1926</v>
      </c>
    </row>
    <row r="400" spans="1:2">
      <c r="A400" s="18" t="s">
        <v>360</v>
      </c>
      <c r="B400" s="18" t="s">
        <v>2079</v>
      </c>
    </row>
    <row r="401" spans="1:2">
      <c r="A401" s="18" t="s">
        <v>360</v>
      </c>
      <c r="B401" s="18" t="s">
        <v>2254</v>
      </c>
    </row>
    <row r="402" spans="1:2">
      <c r="A402" s="18" t="s">
        <v>360</v>
      </c>
      <c r="B402" s="18" t="s">
        <v>2303</v>
      </c>
    </row>
    <row r="403" spans="1:2">
      <c r="A403" s="18" t="s">
        <v>361</v>
      </c>
      <c r="B403" s="18" t="s">
        <v>2263</v>
      </c>
    </row>
    <row r="404" spans="1:2">
      <c r="A404" s="18" t="s">
        <v>361</v>
      </c>
      <c r="B404" s="18" t="s">
        <v>2253</v>
      </c>
    </row>
    <row r="405" spans="1:2">
      <c r="A405" s="18" t="s">
        <v>361</v>
      </c>
      <c r="B405" s="18" t="s">
        <v>1919</v>
      </c>
    </row>
    <row r="406" spans="1:2">
      <c r="A406" s="18" t="s">
        <v>361</v>
      </c>
      <c r="B406" s="18" t="s">
        <v>1951</v>
      </c>
    </row>
    <row r="407" spans="1:2">
      <c r="A407" s="18" t="s">
        <v>362</v>
      </c>
      <c r="B407" s="18" t="s">
        <v>2272</v>
      </c>
    </row>
    <row r="408" spans="1:2">
      <c r="A408" s="18" t="s">
        <v>362</v>
      </c>
      <c r="B408" s="18" t="s">
        <v>2171</v>
      </c>
    </row>
    <row r="409" spans="1:2">
      <c r="A409" s="18" t="s">
        <v>362</v>
      </c>
      <c r="B409" s="18" t="s">
        <v>2468</v>
      </c>
    </row>
    <row r="410" spans="1:2">
      <c r="A410" s="18" t="s">
        <v>363</v>
      </c>
      <c r="B410" s="18" t="s">
        <v>2119</v>
      </c>
    </row>
    <row r="411" spans="1:2">
      <c r="A411" s="18" t="s">
        <v>363</v>
      </c>
      <c r="B411" s="18" t="s">
        <v>2265</v>
      </c>
    </row>
    <row r="412" spans="1:2">
      <c r="A412" s="18" t="s">
        <v>363</v>
      </c>
      <c r="B412" s="18" t="s">
        <v>2445</v>
      </c>
    </row>
    <row r="413" spans="1:2">
      <c r="A413" s="18" t="s">
        <v>363</v>
      </c>
      <c r="B413" s="18" t="s">
        <v>2352</v>
      </c>
    </row>
    <row r="414" spans="1:2">
      <c r="A414" s="18" t="s">
        <v>364</v>
      </c>
      <c r="B414" s="18" t="s">
        <v>1979</v>
      </c>
    </row>
    <row r="415" spans="1:2">
      <c r="A415" s="18" t="s">
        <v>364</v>
      </c>
      <c r="B415" s="18" t="s">
        <v>2111</v>
      </c>
    </row>
    <row r="416" spans="1:2">
      <c r="A416" s="18" t="s">
        <v>364</v>
      </c>
      <c r="B416" s="18" t="s">
        <v>1999</v>
      </c>
    </row>
    <row r="417" spans="1:2">
      <c r="A417" s="18" t="s">
        <v>364</v>
      </c>
      <c r="B417" s="18" t="s">
        <v>2173</v>
      </c>
    </row>
    <row r="418" spans="1:2">
      <c r="A418" s="18" t="s">
        <v>365</v>
      </c>
      <c r="B418" s="18" t="s">
        <v>1987</v>
      </c>
    </row>
    <row r="419" spans="1:2">
      <c r="A419" s="18" t="s">
        <v>365</v>
      </c>
      <c r="B419" s="18" t="s">
        <v>2363</v>
      </c>
    </row>
    <row r="420" spans="1:2">
      <c r="A420" s="18" t="s">
        <v>365</v>
      </c>
      <c r="B420" s="18" t="s">
        <v>2410</v>
      </c>
    </row>
    <row r="421" spans="1:2">
      <c r="A421" s="18" t="s">
        <v>366</v>
      </c>
      <c r="B421" s="18" t="s">
        <v>1888</v>
      </c>
    </row>
    <row r="422" spans="1:2">
      <c r="A422" s="18" t="s">
        <v>366</v>
      </c>
      <c r="B422" s="18" t="s">
        <v>2351</v>
      </c>
    </row>
    <row r="423" spans="1:2">
      <c r="A423" s="18" t="s">
        <v>367</v>
      </c>
      <c r="B423" s="18" t="s">
        <v>1899</v>
      </c>
    </row>
    <row r="424" spans="1:2">
      <c r="A424" s="18" t="s">
        <v>368</v>
      </c>
      <c r="B424" s="18" t="s">
        <v>2162</v>
      </c>
    </row>
    <row r="425" spans="1:2">
      <c r="A425" s="18" t="s">
        <v>369</v>
      </c>
      <c r="B425" s="18" t="s">
        <v>2239</v>
      </c>
    </row>
    <row r="426" spans="1:2">
      <c r="A426" s="18" t="s">
        <v>370</v>
      </c>
      <c r="B426" s="18" t="s">
        <v>2175</v>
      </c>
    </row>
    <row r="427" spans="1:2">
      <c r="A427" s="18" t="s">
        <v>371</v>
      </c>
      <c r="B427" s="18" t="s">
        <v>2175</v>
      </c>
    </row>
    <row r="428" spans="1:2">
      <c r="A428" s="18" t="s">
        <v>372</v>
      </c>
      <c r="B428" s="18" t="s">
        <v>2285</v>
      </c>
    </row>
    <row r="429" spans="1:2">
      <c r="A429" s="18" t="s">
        <v>372</v>
      </c>
      <c r="B429" s="18" t="s">
        <v>1973</v>
      </c>
    </row>
    <row r="430" spans="1:2">
      <c r="A430" s="18" t="s">
        <v>373</v>
      </c>
      <c r="B430" s="18" t="s">
        <v>2002</v>
      </c>
    </row>
    <row r="431" spans="1:2">
      <c r="A431" s="18" t="s">
        <v>374</v>
      </c>
      <c r="B431" s="18" t="s">
        <v>2003</v>
      </c>
    </row>
    <row r="432" spans="1:2">
      <c r="A432" s="18" t="s">
        <v>375</v>
      </c>
      <c r="B432" s="18" t="s">
        <v>2018</v>
      </c>
    </row>
    <row r="433" spans="1:2">
      <c r="A433" s="18" t="s">
        <v>376</v>
      </c>
      <c r="B433" s="18" t="s">
        <v>1935</v>
      </c>
    </row>
    <row r="434" spans="1:2">
      <c r="A434" s="18" t="s">
        <v>377</v>
      </c>
      <c r="B434" s="18" t="s">
        <v>1942</v>
      </c>
    </row>
    <row r="435" spans="1:2">
      <c r="A435" s="18" t="s">
        <v>378</v>
      </c>
      <c r="B435" s="18" t="s">
        <v>2367</v>
      </c>
    </row>
    <row r="436" spans="1:2">
      <c r="A436" s="18" t="s">
        <v>379</v>
      </c>
      <c r="B436" s="18" t="s">
        <v>2018</v>
      </c>
    </row>
    <row r="437" spans="1:2">
      <c r="A437" s="18" t="s">
        <v>380</v>
      </c>
      <c r="B437" s="18" t="s">
        <v>2459</v>
      </c>
    </row>
    <row r="438" spans="1:2">
      <c r="A438" s="18" t="s">
        <v>381</v>
      </c>
      <c r="B438" s="18" t="s">
        <v>2394</v>
      </c>
    </row>
    <row r="439" spans="1:2">
      <c r="A439" s="18" t="s">
        <v>382</v>
      </c>
      <c r="B439" s="18" t="s">
        <v>2394</v>
      </c>
    </row>
    <row r="440" spans="1:2">
      <c r="A440" s="18" t="s">
        <v>383</v>
      </c>
      <c r="B440" s="18" t="s">
        <v>2073</v>
      </c>
    </row>
    <row r="441" spans="1:2">
      <c r="A441" s="18" t="s">
        <v>384</v>
      </c>
      <c r="B441" s="18" t="s">
        <v>2459</v>
      </c>
    </row>
    <row r="442" spans="1:2">
      <c r="A442" s="18" t="s">
        <v>384</v>
      </c>
      <c r="B442" s="18" t="s">
        <v>2068</v>
      </c>
    </row>
    <row r="443" spans="1:2">
      <c r="A443" s="18" t="s">
        <v>385</v>
      </c>
      <c r="B443" s="18" t="s">
        <v>2279</v>
      </c>
    </row>
    <row r="444" spans="1:2">
      <c r="A444" s="18" t="s">
        <v>386</v>
      </c>
      <c r="B444" s="18" t="s">
        <v>2015</v>
      </c>
    </row>
    <row r="445" spans="1:2">
      <c r="A445" s="18" t="s">
        <v>387</v>
      </c>
      <c r="B445" s="18" t="s">
        <v>2441</v>
      </c>
    </row>
    <row r="446" spans="1:2">
      <c r="A446" s="18" t="s">
        <v>388</v>
      </c>
      <c r="B446" s="18" t="s">
        <v>2016</v>
      </c>
    </row>
    <row r="447" spans="1:2">
      <c r="A447" s="18" t="s">
        <v>389</v>
      </c>
      <c r="B447" s="18" t="s">
        <v>2189</v>
      </c>
    </row>
    <row r="448" spans="1:2">
      <c r="A448" s="18" t="s">
        <v>390</v>
      </c>
      <c r="B448" s="18" t="s">
        <v>2287</v>
      </c>
    </row>
    <row r="449" spans="1:2">
      <c r="A449" s="18" t="s">
        <v>391</v>
      </c>
      <c r="B449" s="18" t="s">
        <v>2169</v>
      </c>
    </row>
    <row r="450" spans="1:2">
      <c r="A450" s="18" t="s">
        <v>392</v>
      </c>
      <c r="B450" s="18" t="s">
        <v>1965</v>
      </c>
    </row>
    <row r="451" spans="1:2">
      <c r="A451" s="18" t="s">
        <v>392</v>
      </c>
      <c r="B451" s="18" t="s">
        <v>2071</v>
      </c>
    </row>
    <row r="452" spans="1:2">
      <c r="A452" s="18" t="s">
        <v>393</v>
      </c>
      <c r="B452" s="18" t="s">
        <v>2149</v>
      </c>
    </row>
    <row r="453" spans="1:2">
      <c r="A453" s="18" t="s">
        <v>393</v>
      </c>
      <c r="B453" s="18" t="s">
        <v>1995</v>
      </c>
    </row>
    <row r="454" spans="1:2">
      <c r="A454" s="18" t="s">
        <v>393</v>
      </c>
      <c r="B454" s="18" t="s">
        <v>2237</v>
      </c>
    </row>
    <row r="455" spans="1:2">
      <c r="A455" s="18" t="s">
        <v>393</v>
      </c>
      <c r="B455" s="18" t="s">
        <v>2274</v>
      </c>
    </row>
    <row r="456" spans="1:2">
      <c r="A456" s="18" t="s">
        <v>393</v>
      </c>
      <c r="B456" s="18" t="s">
        <v>2267</v>
      </c>
    </row>
    <row r="457" spans="1:2">
      <c r="A457" s="18" t="s">
        <v>394</v>
      </c>
      <c r="B457" s="18" t="s">
        <v>2307</v>
      </c>
    </row>
    <row r="458" spans="1:2">
      <c r="A458" s="18" t="s">
        <v>395</v>
      </c>
      <c r="B458" s="18" t="s">
        <v>2337</v>
      </c>
    </row>
    <row r="459" spans="1:2">
      <c r="A459" s="18" t="s">
        <v>395</v>
      </c>
      <c r="B459" s="18" t="s">
        <v>1914</v>
      </c>
    </row>
    <row r="460" spans="1:2">
      <c r="A460" s="18" t="s">
        <v>396</v>
      </c>
      <c r="B460" s="18" t="s">
        <v>2422</v>
      </c>
    </row>
    <row r="461" spans="1:2">
      <c r="A461" s="18" t="s">
        <v>396</v>
      </c>
      <c r="B461" s="18" t="s">
        <v>2040</v>
      </c>
    </row>
    <row r="462" spans="1:2">
      <c r="A462" s="18" t="s">
        <v>397</v>
      </c>
      <c r="B462" s="18" t="s">
        <v>2257</v>
      </c>
    </row>
    <row r="463" spans="1:2">
      <c r="A463" s="18" t="s">
        <v>397</v>
      </c>
      <c r="B463" s="18" t="s">
        <v>1950</v>
      </c>
    </row>
    <row r="464" spans="1:2">
      <c r="A464" s="18" t="s">
        <v>397</v>
      </c>
      <c r="B464" s="18" t="s">
        <v>2381</v>
      </c>
    </row>
    <row r="465" spans="1:2">
      <c r="A465" s="18" t="s">
        <v>398</v>
      </c>
      <c r="B465" s="18" t="s">
        <v>2374</v>
      </c>
    </row>
    <row r="466" spans="1:2">
      <c r="A466" s="18" t="s">
        <v>398</v>
      </c>
      <c r="B466" s="18" t="s">
        <v>2288</v>
      </c>
    </row>
    <row r="467" spans="1:2">
      <c r="A467" s="18" t="s">
        <v>398</v>
      </c>
      <c r="B467" s="18" t="s">
        <v>1906</v>
      </c>
    </row>
    <row r="468" spans="1:2">
      <c r="A468" s="18" t="s">
        <v>399</v>
      </c>
      <c r="B468" s="18" t="s">
        <v>2328</v>
      </c>
    </row>
    <row r="469" spans="1:2">
      <c r="A469" s="18" t="s">
        <v>399</v>
      </c>
      <c r="B469" s="18" t="s">
        <v>2050</v>
      </c>
    </row>
    <row r="470" spans="1:2">
      <c r="A470" s="18" t="s">
        <v>400</v>
      </c>
      <c r="B470" s="18" t="s">
        <v>2096</v>
      </c>
    </row>
    <row r="471" spans="1:2">
      <c r="A471" s="18" t="s">
        <v>401</v>
      </c>
      <c r="B471" s="18" t="s">
        <v>2337</v>
      </c>
    </row>
    <row r="472" spans="1:2">
      <c r="A472" s="18" t="s">
        <v>401</v>
      </c>
      <c r="B472" s="18" t="s">
        <v>2284</v>
      </c>
    </row>
    <row r="473" spans="1:2">
      <c r="A473" s="18" t="s">
        <v>402</v>
      </c>
      <c r="B473" s="18" t="s">
        <v>2118</v>
      </c>
    </row>
    <row r="474" spans="1:2">
      <c r="A474" s="18" t="s">
        <v>403</v>
      </c>
      <c r="B474" s="18" t="s">
        <v>2347</v>
      </c>
    </row>
    <row r="475" spans="1:2">
      <c r="A475" s="18" t="s">
        <v>404</v>
      </c>
      <c r="B475" s="18" t="s">
        <v>2132</v>
      </c>
    </row>
    <row r="476" spans="1:2">
      <c r="A476" s="18" t="s">
        <v>405</v>
      </c>
      <c r="B476" s="18" t="s">
        <v>2153</v>
      </c>
    </row>
    <row r="477" spans="1:2">
      <c r="A477" s="18" t="s">
        <v>406</v>
      </c>
      <c r="B477" s="18" t="s">
        <v>1892</v>
      </c>
    </row>
    <row r="478" spans="1:2">
      <c r="A478" s="18" t="s">
        <v>407</v>
      </c>
      <c r="B478" s="18" t="s">
        <v>2124</v>
      </c>
    </row>
    <row r="479" spans="1:2">
      <c r="A479" s="18" t="s">
        <v>407</v>
      </c>
      <c r="B479" s="18" t="s">
        <v>2125</v>
      </c>
    </row>
    <row r="480" spans="1:2">
      <c r="A480" s="18" t="s">
        <v>407</v>
      </c>
      <c r="B480" s="18" t="s">
        <v>2096</v>
      </c>
    </row>
    <row r="481" spans="1:2">
      <c r="A481" s="18" t="s">
        <v>408</v>
      </c>
      <c r="B481" s="18" t="s">
        <v>2331</v>
      </c>
    </row>
    <row r="482" spans="1:2">
      <c r="A482" s="18" t="s">
        <v>408</v>
      </c>
      <c r="B482" s="18" t="s">
        <v>2139</v>
      </c>
    </row>
    <row r="483" spans="1:2">
      <c r="A483" s="18" t="s">
        <v>408</v>
      </c>
      <c r="B483" s="18" t="s">
        <v>2437</v>
      </c>
    </row>
    <row r="484" spans="1:2">
      <c r="A484" s="18" t="s">
        <v>408</v>
      </c>
      <c r="B484" s="18" t="s">
        <v>2055</v>
      </c>
    </row>
    <row r="485" spans="1:2">
      <c r="A485" s="18" t="s">
        <v>408</v>
      </c>
      <c r="B485" s="18" t="s">
        <v>2087</v>
      </c>
    </row>
    <row r="486" spans="1:2">
      <c r="A486" s="18" t="s">
        <v>409</v>
      </c>
      <c r="B486" s="18" t="s">
        <v>2390</v>
      </c>
    </row>
    <row r="487" spans="1:2">
      <c r="A487" s="18" t="s">
        <v>410</v>
      </c>
      <c r="B487" s="18" t="s">
        <v>2177</v>
      </c>
    </row>
    <row r="488" spans="1:2">
      <c r="A488" s="18" t="s">
        <v>411</v>
      </c>
      <c r="B488" s="18" t="s">
        <v>2384</v>
      </c>
    </row>
    <row r="489" spans="1:2">
      <c r="A489" s="18" t="s">
        <v>412</v>
      </c>
      <c r="B489" s="18" t="s">
        <v>2466</v>
      </c>
    </row>
    <row r="490" spans="1:2">
      <c r="A490" s="18" t="s">
        <v>413</v>
      </c>
      <c r="B490" s="18" t="s">
        <v>1968</v>
      </c>
    </row>
    <row r="491" spans="1:2">
      <c r="A491" s="18" t="s">
        <v>414</v>
      </c>
      <c r="B491" s="18" t="s">
        <v>2191</v>
      </c>
    </row>
    <row r="492" spans="1:2">
      <c r="A492" s="18" t="s">
        <v>415</v>
      </c>
      <c r="B492" s="18" t="s">
        <v>2231</v>
      </c>
    </row>
    <row r="493" spans="1:2">
      <c r="A493" s="18" t="s">
        <v>415</v>
      </c>
      <c r="B493" s="18" t="s">
        <v>1942</v>
      </c>
    </row>
    <row r="494" spans="1:2">
      <c r="A494" s="18" t="s">
        <v>415</v>
      </c>
      <c r="B494" s="18" t="s">
        <v>2027</v>
      </c>
    </row>
    <row r="495" spans="1:2">
      <c r="A495" s="18" t="s">
        <v>415</v>
      </c>
      <c r="B495" s="18" t="s">
        <v>2171</v>
      </c>
    </row>
    <row r="496" spans="1:2">
      <c r="A496" s="18" t="s">
        <v>415</v>
      </c>
      <c r="B496" s="18" t="s">
        <v>2390</v>
      </c>
    </row>
    <row r="497" spans="1:2">
      <c r="A497" s="18" t="s">
        <v>416</v>
      </c>
      <c r="B497" s="18" t="s">
        <v>1977</v>
      </c>
    </row>
    <row r="498" spans="1:2">
      <c r="A498" s="18" t="s">
        <v>416</v>
      </c>
      <c r="B498" s="18" t="s">
        <v>2153</v>
      </c>
    </row>
    <row r="499" spans="1:2">
      <c r="A499" s="18" t="s">
        <v>416</v>
      </c>
      <c r="B499" s="18" t="s">
        <v>2439</v>
      </c>
    </row>
    <row r="500" spans="1:2">
      <c r="A500" s="18" t="s">
        <v>416</v>
      </c>
      <c r="B500" s="18" t="s">
        <v>2084</v>
      </c>
    </row>
    <row r="501" spans="1:2">
      <c r="A501" s="18" t="s">
        <v>417</v>
      </c>
      <c r="B501" s="18" t="s">
        <v>2436</v>
      </c>
    </row>
    <row r="502" spans="1:2">
      <c r="A502" s="18" t="s">
        <v>418</v>
      </c>
      <c r="B502" s="18" t="s">
        <v>2390</v>
      </c>
    </row>
    <row r="503" spans="1:2">
      <c r="A503" s="18" t="s">
        <v>418</v>
      </c>
      <c r="B503" s="18" t="s">
        <v>2143</v>
      </c>
    </row>
    <row r="504" spans="1:2">
      <c r="A504" s="18" t="s">
        <v>418</v>
      </c>
      <c r="B504" s="18" t="s">
        <v>2065</v>
      </c>
    </row>
    <row r="505" spans="1:2">
      <c r="A505" s="18" t="s">
        <v>419</v>
      </c>
      <c r="B505" s="18" t="s">
        <v>2260</v>
      </c>
    </row>
    <row r="506" spans="1:2">
      <c r="A506" s="18" t="s">
        <v>419</v>
      </c>
      <c r="B506" s="18" t="s">
        <v>1982</v>
      </c>
    </row>
    <row r="507" spans="1:2">
      <c r="A507" s="18" t="s">
        <v>419</v>
      </c>
      <c r="B507" s="18" t="s">
        <v>1936</v>
      </c>
    </row>
    <row r="508" spans="1:2">
      <c r="A508" s="18" t="s">
        <v>419</v>
      </c>
      <c r="B508" s="18" t="s">
        <v>2266</v>
      </c>
    </row>
    <row r="509" spans="1:2">
      <c r="A509" s="18" t="s">
        <v>419</v>
      </c>
      <c r="B509" s="18" t="s">
        <v>2112</v>
      </c>
    </row>
    <row r="510" spans="1:2">
      <c r="A510" s="18" t="s">
        <v>420</v>
      </c>
      <c r="B510" s="18" t="s">
        <v>2259</v>
      </c>
    </row>
    <row r="511" spans="1:2">
      <c r="A511" s="18" t="s">
        <v>420</v>
      </c>
      <c r="B511" s="18" t="s">
        <v>1939</v>
      </c>
    </row>
    <row r="512" spans="1:2">
      <c r="A512" s="18" t="s">
        <v>420</v>
      </c>
      <c r="B512" s="18" t="s">
        <v>2160</v>
      </c>
    </row>
    <row r="513" spans="1:2">
      <c r="A513" s="18" t="s">
        <v>421</v>
      </c>
      <c r="B513" s="18" t="s">
        <v>2436</v>
      </c>
    </row>
    <row r="514" spans="1:2">
      <c r="A514" s="18" t="s">
        <v>421</v>
      </c>
      <c r="B514" s="18" t="s">
        <v>1939</v>
      </c>
    </row>
    <row r="515" spans="1:2">
      <c r="A515" s="18" t="s">
        <v>422</v>
      </c>
      <c r="B515" s="18" t="s">
        <v>2065</v>
      </c>
    </row>
    <row r="516" spans="1:2">
      <c r="A516" s="18" t="s">
        <v>422</v>
      </c>
      <c r="B516" s="18" t="s">
        <v>2154</v>
      </c>
    </row>
    <row r="517" spans="1:2">
      <c r="A517" s="18" t="s">
        <v>422</v>
      </c>
      <c r="B517" s="18" t="s">
        <v>2367</v>
      </c>
    </row>
    <row r="518" spans="1:2">
      <c r="A518" s="18" t="s">
        <v>423</v>
      </c>
      <c r="B518" s="18" t="s">
        <v>1952</v>
      </c>
    </row>
    <row r="519" spans="1:2">
      <c r="A519" s="18" t="s">
        <v>424</v>
      </c>
      <c r="B519" s="18" t="s">
        <v>1899</v>
      </c>
    </row>
    <row r="520" spans="1:2">
      <c r="A520" s="18" t="s">
        <v>424</v>
      </c>
      <c r="B520" s="18" t="s">
        <v>1942</v>
      </c>
    </row>
    <row r="521" spans="1:2">
      <c r="A521" s="18" t="s">
        <v>424</v>
      </c>
      <c r="B521" s="18" t="s">
        <v>1894</v>
      </c>
    </row>
    <row r="522" spans="1:2">
      <c r="A522" s="18" t="s">
        <v>424</v>
      </c>
      <c r="B522" s="18" t="s">
        <v>2367</v>
      </c>
    </row>
    <row r="523" spans="1:2">
      <c r="A523" s="18" t="s">
        <v>425</v>
      </c>
      <c r="B523" s="18" t="s">
        <v>2367</v>
      </c>
    </row>
    <row r="524" spans="1:2">
      <c r="A524" s="18" t="s">
        <v>425</v>
      </c>
      <c r="B524" s="18" t="s">
        <v>1949</v>
      </c>
    </row>
    <row r="525" spans="1:2">
      <c r="A525" s="18" t="s">
        <v>426</v>
      </c>
      <c r="B525" s="18" t="s">
        <v>1937</v>
      </c>
    </row>
    <row r="526" spans="1:2">
      <c r="A526" s="18" t="s">
        <v>426</v>
      </c>
      <c r="B526" s="18" t="s">
        <v>1939</v>
      </c>
    </row>
    <row r="527" spans="1:2">
      <c r="A527" s="18" t="s">
        <v>427</v>
      </c>
      <c r="B527" s="18" t="s">
        <v>2386</v>
      </c>
    </row>
    <row r="528" spans="1:2">
      <c r="A528" s="18" t="s">
        <v>428</v>
      </c>
      <c r="B528" s="18" t="s">
        <v>2480</v>
      </c>
    </row>
    <row r="529" spans="1:2">
      <c r="A529" s="18" t="s">
        <v>428</v>
      </c>
      <c r="B529" s="18" t="s">
        <v>2214</v>
      </c>
    </row>
    <row r="530" spans="1:2">
      <c r="A530" s="18" t="s">
        <v>429</v>
      </c>
      <c r="B530" s="18" t="s">
        <v>2192</v>
      </c>
    </row>
    <row r="531" spans="1:2">
      <c r="A531" s="18" t="s">
        <v>430</v>
      </c>
      <c r="B531" s="18" t="s">
        <v>2378</v>
      </c>
    </row>
    <row r="532" spans="1:2">
      <c r="A532" s="18" t="s">
        <v>431</v>
      </c>
      <c r="B532" s="18" t="s">
        <v>2078</v>
      </c>
    </row>
    <row r="533" spans="1:2">
      <c r="A533" s="18" t="s">
        <v>432</v>
      </c>
      <c r="B533" s="18" t="s">
        <v>2472</v>
      </c>
    </row>
    <row r="534" spans="1:2">
      <c r="A534" s="18" t="s">
        <v>433</v>
      </c>
      <c r="B534" s="18" t="s">
        <v>2082</v>
      </c>
    </row>
    <row r="535" spans="1:2">
      <c r="A535" s="18" t="s">
        <v>434</v>
      </c>
      <c r="B535" s="18" t="s">
        <v>2212</v>
      </c>
    </row>
    <row r="536" spans="1:2">
      <c r="A536" s="18" t="s">
        <v>435</v>
      </c>
      <c r="B536" s="18" t="s">
        <v>2079</v>
      </c>
    </row>
    <row r="537" spans="1:2">
      <c r="A537" s="18" t="s">
        <v>436</v>
      </c>
      <c r="B537" s="18" t="s">
        <v>2017</v>
      </c>
    </row>
    <row r="538" spans="1:2">
      <c r="A538" s="18" t="s">
        <v>437</v>
      </c>
      <c r="B538" s="18" t="s">
        <v>2017</v>
      </c>
    </row>
    <row r="539" spans="1:2">
      <c r="A539" s="18" t="s">
        <v>438</v>
      </c>
      <c r="B539" s="18" t="s">
        <v>2296</v>
      </c>
    </row>
    <row r="540" spans="1:2">
      <c r="A540" s="18" t="s">
        <v>439</v>
      </c>
      <c r="B540" s="18" t="s">
        <v>2056</v>
      </c>
    </row>
    <row r="541" spans="1:2">
      <c r="A541" s="18" t="s">
        <v>440</v>
      </c>
      <c r="B541" s="18" t="s">
        <v>2017</v>
      </c>
    </row>
    <row r="542" spans="1:2">
      <c r="A542" s="18" t="s">
        <v>441</v>
      </c>
      <c r="B542" s="18" t="s">
        <v>2017</v>
      </c>
    </row>
    <row r="543" spans="1:2">
      <c r="A543" s="18" t="s">
        <v>442</v>
      </c>
      <c r="B543" s="18" t="s">
        <v>2017</v>
      </c>
    </row>
    <row r="544" spans="1:2">
      <c r="A544" s="18" t="s">
        <v>443</v>
      </c>
      <c r="B544" s="18" t="s">
        <v>2017</v>
      </c>
    </row>
    <row r="545" spans="1:2">
      <c r="A545" s="18" t="s">
        <v>444</v>
      </c>
      <c r="B545" s="18" t="s">
        <v>2017</v>
      </c>
    </row>
    <row r="546" spans="1:2">
      <c r="A546" s="18" t="s">
        <v>1513</v>
      </c>
      <c r="B546" s="18" t="s">
        <v>2296</v>
      </c>
    </row>
    <row r="547" spans="1:2">
      <c r="A547" s="18" t="s">
        <v>1516</v>
      </c>
      <c r="B547" s="18" t="s">
        <v>2296</v>
      </c>
    </row>
    <row r="548" spans="1:2">
      <c r="A548" s="18" t="s">
        <v>1519</v>
      </c>
      <c r="B548" s="18" t="s">
        <v>2016</v>
      </c>
    </row>
    <row r="549" spans="1:2">
      <c r="A549" s="18" t="s">
        <v>448</v>
      </c>
      <c r="B549" s="18" t="s">
        <v>2336</v>
      </c>
    </row>
    <row r="550" spans="1:2">
      <c r="A550" s="18" t="s">
        <v>449</v>
      </c>
      <c r="B550" s="18" t="s">
        <v>2441</v>
      </c>
    </row>
    <row r="551" spans="1:2">
      <c r="A551" s="18" t="s">
        <v>449</v>
      </c>
      <c r="B551" s="18" t="s">
        <v>2016</v>
      </c>
    </row>
    <row r="552" spans="1:2">
      <c r="A552" s="18" t="s">
        <v>450</v>
      </c>
      <c r="B552" s="18" t="s">
        <v>2371</v>
      </c>
    </row>
    <row r="553" spans="1:2">
      <c r="A553" s="18" t="s">
        <v>451</v>
      </c>
      <c r="B553" s="18" t="s">
        <v>2017</v>
      </c>
    </row>
    <row r="554" spans="1:2">
      <c r="A554" s="18" t="s">
        <v>452</v>
      </c>
      <c r="B554" s="18" t="s">
        <v>2017</v>
      </c>
    </row>
    <row r="555" spans="1:2">
      <c r="A555" s="18" t="s">
        <v>453</v>
      </c>
      <c r="B555" s="18" t="s">
        <v>2017</v>
      </c>
    </row>
    <row r="556" spans="1:2">
      <c r="A556" s="18" t="s">
        <v>454</v>
      </c>
      <c r="B556" s="18" t="s">
        <v>2017</v>
      </c>
    </row>
    <row r="557" spans="1:2">
      <c r="A557" s="18" t="s">
        <v>455</v>
      </c>
      <c r="B557" s="18" t="s">
        <v>2108</v>
      </c>
    </row>
    <row r="558" spans="1:2">
      <c r="A558" s="18" t="s">
        <v>456</v>
      </c>
      <c r="B558" s="18" t="s">
        <v>2128</v>
      </c>
    </row>
    <row r="559" spans="1:2">
      <c r="A559" s="18" t="s">
        <v>456</v>
      </c>
      <c r="B559" s="18" t="s">
        <v>2480</v>
      </c>
    </row>
    <row r="560" spans="1:2">
      <c r="A560" s="18" t="s">
        <v>457</v>
      </c>
      <c r="B560" s="18" t="s">
        <v>2197</v>
      </c>
    </row>
    <row r="561" spans="1:2">
      <c r="A561" s="18" t="s">
        <v>458</v>
      </c>
      <c r="B561" s="18" t="s">
        <v>2236</v>
      </c>
    </row>
    <row r="562" spans="1:2">
      <c r="A562" s="18" t="s">
        <v>459</v>
      </c>
      <c r="B562" s="18" t="s">
        <v>1899</v>
      </c>
    </row>
    <row r="563" spans="1:2">
      <c r="A563" s="18" t="s">
        <v>460</v>
      </c>
      <c r="B563" s="18" t="s">
        <v>2221</v>
      </c>
    </row>
    <row r="564" spans="1:2">
      <c r="A564" s="18" t="s">
        <v>461</v>
      </c>
      <c r="B564" s="18" t="s">
        <v>2470</v>
      </c>
    </row>
    <row r="565" spans="1:2">
      <c r="A565" s="18" t="s">
        <v>461</v>
      </c>
      <c r="B565" s="18" t="s">
        <v>2034</v>
      </c>
    </row>
    <row r="566" spans="1:2">
      <c r="A566" s="18" t="s">
        <v>461</v>
      </c>
      <c r="B566" s="18" t="s">
        <v>2441</v>
      </c>
    </row>
    <row r="567" spans="1:2">
      <c r="A567" s="18" t="s">
        <v>461</v>
      </c>
      <c r="B567" s="18" t="s">
        <v>2096</v>
      </c>
    </row>
    <row r="568" spans="1:2">
      <c r="A568" s="18" t="s">
        <v>462</v>
      </c>
      <c r="B568" s="18" t="s">
        <v>2341</v>
      </c>
    </row>
    <row r="569" spans="1:2">
      <c r="A569" s="18" t="s">
        <v>463</v>
      </c>
      <c r="B569" s="18" t="s">
        <v>1899</v>
      </c>
    </row>
    <row r="570" spans="1:2">
      <c r="A570" s="18" t="s">
        <v>464</v>
      </c>
      <c r="B570" s="18" t="s">
        <v>1889</v>
      </c>
    </row>
    <row r="571" spans="1:2">
      <c r="A571" s="18" t="s">
        <v>465</v>
      </c>
      <c r="B571" s="18" t="s">
        <v>2289</v>
      </c>
    </row>
    <row r="572" spans="1:2">
      <c r="A572" s="18" t="s">
        <v>466</v>
      </c>
      <c r="B572" s="18" t="s">
        <v>1904</v>
      </c>
    </row>
    <row r="573" spans="1:2">
      <c r="A573" s="18" t="s">
        <v>467</v>
      </c>
      <c r="B573" s="18" t="s">
        <v>2089</v>
      </c>
    </row>
    <row r="574" spans="1:2">
      <c r="A574" s="18" t="s">
        <v>468</v>
      </c>
      <c r="B574" s="18" t="s">
        <v>1933</v>
      </c>
    </row>
    <row r="575" spans="1:2">
      <c r="A575" s="18" t="s">
        <v>469</v>
      </c>
      <c r="B575" s="18" t="s">
        <v>2311</v>
      </c>
    </row>
    <row r="576" spans="1:2">
      <c r="A576" s="18" t="s">
        <v>469</v>
      </c>
      <c r="B576" s="18" t="s">
        <v>2066</v>
      </c>
    </row>
    <row r="577" spans="1:2">
      <c r="A577" s="18" t="s">
        <v>469</v>
      </c>
      <c r="B577" s="18" t="s">
        <v>2441</v>
      </c>
    </row>
    <row r="578" spans="1:2">
      <c r="A578" s="18" t="s">
        <v>470</v>
      </c>
      <c r="B578" s="18" t="s">
        <v>2441</v>
      </c>
    </row>
    <row r="579" spans="1:2">
      <c r="A579" s="18" t="s">
        <v>470</v>
      </c>
      <c r="B579" s="18" t="s">
        <v>2367</v>
      </c>
    </row>
    <row r="580" spans="1:2">
      <c r="A580" s="18" t="s">
        <v>470</v>
      </c>
      <c r="B580" s="18" t="s">
        <v>2163</v>
      </c>
    </row>
    <row r="581" spans="1:2">
      <c r="A581" s="18" t="s">
        <v>471</v>
      </c>
      <c r="B581" s="18" t="s">
        <v>2042</v>
      </c>
    </row>
    <row r="582" spans="1:2">
      <c r="A582" s="18" t="s">
        <v>472</v>
      </c>
      <c r="B582" s="18" t="s">
        <v>1907</v>
      </c>
    </row>
    <row r="583" spans="1:2">
      <c r="A583" s="18" t="s">
        <v>473</v>
      </c>
      <c r="B583" s="18" t="s">
        <v>2096</v>
      </c>
    </row>
    <row r="584" spans="1:2">
      <c r="A584" s="18" t="s">
        <v>474</v>
      </c>
      <c r="B584" s="18" t="s">
        <v>2341</v>
      </c>
    </row>
    <row r="585" spans="1:2">
      <c r="A585" s="18" t="s">
        <v>475</v>
      </c>
      <c r="B585" s="18" t="s">
        <v>1896</v>
      </c>
    </row>
    <row r="586" spans="1:2">
      <c r="A586" s="18" t="s">
        <v>475</v>
      </c>
      <c r="B586" s="18" t="s">
        <v>2123</v>
      </c>
    </row>
    <row r="587" spans="1:2">
      <c r="A587" s="18" t="s">
        <v>476</v>
      </c>
      <c r="B587" s="18" t="s">
        <v>2127</v>
      </c>
    </row>
    <row r="588" spans="1:2">
      <c r="A588" s="18" t="s">
        <v>476</v>
      </c>
      <c r="B588" s="18" t="s">
        <v>1909</v>
      </c>
    </row>
    <row r="589" spans="1:2">
      <c r="A589" s="18" t="s">
        <v>477</v>
      </c>
      <c r="B589" s="18" t="s">
        <v>1901</v>
      </c>
    </row>
    <row r="590" spans="1:2">
      <c r="A590" s="18" t="s">
        <v>478</v>
      </c>
      <c r="B590" s="18" t="s">
        <v>2038</v>
      </c>
    </row>
    <row r="591" spans="1:2">
      <c r="A591" s="18" t="s">
        <v>479</v>
      </c>
      <c r="B591" s="18" t="s">
        <v>2072</v>
      </c>
    </row>
    <row r="592" spans="1:2">
      <c r="A592" s="18" t="s">
        <v>480</v>
      </c>
      <c r="B592" s="18" t="s">
        <v>2074</v>
      </c>
    </row>
    <row r="593" spans="1:2">
      <c r="A593" s="18" t="s">
        <v>481</v>
      </c>
      <c r="B593" s="18" t="s">
        <v>2270</v>
      </c>
    </row>
    <row r="594" spans="1:2">
      <c r="A594" s="18" t="s">
        <v>482</v>
      </c>
      <c r="B594" s="18" t="s">
        <v>2093</v>
      </c>
    </row>
    <row r="595" spans="1:2">
      <c r="A595" s="18" t="s">
        <v>483</v>
      </c>
      <c r="B595" s="18" t="s">
        <v>2009</v>
      </c>
    </row>
    <row r="596" spans="1:2">
      <c r="A596" s="18" t="s">
        <v>484</v>
      </c>
      <c r="B596" s="18" t="s">
        <v>2076</v>
      </c>
    </row>
    <row r="597" spans="1:2">
      <c r="A597" s="18" t="s">
        <v>485</v>
      </c>
      <c r="B597" s="18" t="s">
        <v>2017</v>
      </c>
    </row>
    <row r="598" spans="1:2">
      <c r="A598" s="18" t="s">
        <v>486</v>
      </c>
      <c r="B598" s="18" t="s">
        <v>2230</v>
      </c>
    </row>
    <row r="599" spans="1:2">
      <c r="A599" s="18" t="s">
        <v>487</v>
      </c>
      <c r="B599" s="18" t="s">
        <v>2270</v>
      </c>
    </row>
    <row r="600" spans="1:2">
      <c r="A600" s="18" t="s">
        <v>488</v>
      </c>
      <c r="B600" s="18" t="s">
        <v>2018</v>
      </c>
    </row>
    <row r="601" spans="1:2">
      <c r="A601" s="18" t="s">
        <v>489</v>
      </c>
      <c r="B601" s="18" t="s">
        <v>1907</v>
      </c>
    </row>
    <row r="602" spans="1:2">
      <c r="A602" s="18" t="s">
        <v>489</v>
      </c>
      <c r="B602" s="18" t="s">
        <v>2033</v>
      </c>
    </row>
    <row r="603" spans="1:2">
      <c r="A603" s="18" t="s">
        <v>490</v>
      </c>
      <c r="B603" s="18" t="s">
        <v>2341</v>
      </c>
    </row>
    <row r="604" spans="1:2">
      <c r="A604" s="18" t="s">
        <v>491</v>
      </c>
      <c r="B604" s="18" t="s">
        <v>2198</v>
      </c>
    </row>
    <row r="605" spans="1:2">
      <c r="A605" s="18" t="s">
        <v>492</v>
      </c>
      <c r="B605" s="18" t="s">
        <v>2043</v>
      </c>
    </row>
    <row r="606" spans="1:2">
      <c r="A606" s="18" t="s">
        <v>493</v>
      </c>
      <c r="B606" s="18" t="s">
        <v>1911</v>
      </c>
    </row>
    <row r="607" spans="1:2">
      <c r="A607" s="18" t="s">
        <v>494</v>
      </c>
      <c r="B607" s="18" t="s">
        <v>2332</v>
      </c>
    </row>
    <row r="608" spans="1:2">
      <c r="A608" s="18" t="s">
        <v>495</v>
      </c>
      <c r="B608" s="18" t="s">
        <v>1998</v>
      </c>
    </row>
    <row r="609" spans="1:2">
      <c r="A609" s="18" t="s">
        <v>495</v>
      </c>
      <c r="B609" s="18" t="s">
        <v>2115</v>
      </c>
    </row>
    <row r="610" spans="1:2">
      <c r="A610" s="18" t="s">
        <v>495</v>
      </c>
      <c r="B610" s="18" t="s">
        <v>1908</v>
      </c>
    </row>
    <row r="611" spans="1:2">
      <c r="A611" s="18" t="s">
        <v>496</v>
      </c>
      <c r="B611" s="18" t="s">
        <v>1904</v>
      </c>
    </row>
    <row r="612" spans="1:2">
      <c r="A612" s="18" t="s">
        <v>497</v>
      </c>
      <c r="B612" s="18" t="s">
        <v>2141</v>
      </c>
    </row>
    <row r="613" spans="1:2">
      <c r="A613" s="18" t="s">
        <v>497</v>
      </c>
      <c r="B613" s="18" t="s">
        <v>2316</v>
      </c>
    </row>
    <row r="614" spans="1:2">
      <c r="A614" s="18" t="s">
        <v>497</v>
      </c>
      <c r="B614" s="18" t="s">
        <v>2091</v>
      </c>
    </row>
    <row r="615" spans="1:2">
      <c r="A615" s="18" t="s">
        <v>498</v>
      </c>
      <c r="B615" s="18" t="s">
        <v>2043</v>
      </c>
    </row>
    <row r="616" spans="1:2">
      <c r="A616" s="18" t="s">
        <v>498</v>
      </c>
      <c r="B616" s="18" t="s">
        <v>2321</v>
      </c>
    </row>
    <row r="617" spans="1:2">
      <c r="A617" s="18" t="s">
        <v>499</v>
      </c>
      <c r="B617" s="18" t="s">
        <v>2018</v>
      </c>
    </row>
    <row r="618" spans="1:2">
      <c r="A618" s="18" t="s">
        <v>500</v>
      </c>
      <c r="B618" s="18" t="s">
        <v>2017</v>
      </c>
    </row>
    <row r="619" spans="1:2">
      <c r="A619" s="18" t="s">
        <v>501</v>
      </c>
      <c r="B619" s="18" t="s">
        <v>2017</v>
      </c>
    </row>
    <row r="620" spans="1:2">
      <c r="A620" s="18" t="s">
        <v>502</v>
      </c>
      <c r="B620" s="18" t="s">
        <v>2371</v>
      </c>
    </row>
    <row r="621" spans="1:2">
      <c r="A621" s="18" t="s">
        <v>503</v>
      </c>
      <c r="B621" s="18" t="s">
        <v>2341</v>
      </c>
    </row>
    <row r="622" spans="1:2">
      <c r="A622" s="18" t="s">
        <v>504</v>
      </c>
      <c r="B622" s="18" t="s">
        <v>2370</v>
      </c>
    </row>
    <row r="623" spans="1:2">
      <c r="A623" s="18" t="s">
        <v>505</v>
      </c>
      <c r="B623" s="18" t="s">
        <v>2371</v>
      </c>
    </row>
    <row r="624" spans="1:2">
      <c r="A624" s="18" t="s">
        <v>506</v>
      </c>
      <c r="B624" s="18" t="s">
        <v>2332</v>
      </c>
    </row>
    <row r="625" spans="1:2">
      <c r="A625" s="18" t="s">
        <v>507</v>
      </c>
      <c r="B625" s="18" t="s">
        <v>2371</v>
      </c>
    </row>
    <row r="626" spans="1:2">
      <c r="A626" s="18" t="s">
        <v>508</v>
      </c>
      <c r="B626" s="18" t="s">
        <v>2425</v>
      </c>
    </row>
    <row r="627" spans="1:2">
      <c r="A627" s="18" t="s">
        <v>509</v>
      </c>
      <c r="B627" s="18" t="s">
        <v>2046</v>
      </c>
    </row>
    <row r="628" spans="1:2">
      <c r="A628" s="18" t="s">
        <v>510</v>
      </c>
      <c r="B628" s="18" t="s">
        <v>1960</v>
      </c>
    </row>
    <row r="629" spans="1:2">
      <c r="A629" s="18" t="s">
        <v>511</v>
      </c>
      <c r="B629" s="18" t="s">
        <v>2441</v>
      </c>
    </row>
    <row r="630" spans="1:2">
      <c r="A630" s="18" t="s">
        <v>512</v>
      </c>
      <c r="B630" s="18" t="s">
        <v>1978</v>
      </c>
    </row>
    <row r="631" spans="1:2">
      <c r="A631" s="18" t="s">
        <v>513</v>
      </c>
      <c r="B631" s="18" t="s">
        <v>1978</v>
      </c>
    </row>
    <row r="632" spans="1:2">
      <c r="A632" s="18" t="s">
        <v>514</v>
      </c>
      <c r="B632" s="18" t="s">
        <v>2083</v>
      </c>
    </row>
    <row r="633" spans="1:2">
      <c r="A633" s="18" t="s">
        <v>515</v>
      </c>
      <c r="B633" s="18" t="s">
        <v>2338</v>
      </c>
    </row>
    <row r="634" spans="1:2">
      <c r="A634" s="18" t="s">
        <v>516</v>
      </c>
      <c r="B634" s="18" t="s">
        <v>2129</v>
      </c>
    </row>
    <row r="635" spans="1:2">
      <c r="A635" s="18" t="s">
        <v>516</v>
      </c>
      <c r="B635" s="18" t="s">
        <v>2360</v>
      </c>
    </row>
    <row r="636" spans="1:2">
      <c r="A636" s="18" t="s">
        <v>517</v>
      </c>
      <c r="B636" s="18" t="s">
        <v>2346</v>
      </c>
    </row>
    <row r="637" spans="1:2">
      <c r="A637" s="18" t="s">
        <v>518</v>
      </c>
      <c r="B637" s="18" t="s">
        <v>2008</v>
      </c>
    </row>
    <row r="638" spans="1:2">
      <c r="A638" s="18" t="s">
        <v>519</v>
      </c>
      <c r="B638" s="18" t="s">
        <v>1970</v>
      </c>
    </row>
    <row r="639" spans="1:2">
      <c r="A639" s="18" t="s">
        <v>520</v>
      </c>
      <c r="B639" s="18" t="s">
        <v>2204</v>
      </c>
    </row>
    <row r="640" spans="1:2">
      <c r="A640" s="18" t="s">
        <v>521</v>
      </c>
      <c r="B640" s="18" t="s">
        <v>2203</v>
      </c>
    </row>
    <row r="641" spans="1:2">
      <c r="A641" s="18" t="s">
        <v>522</v>
      </c>
      <c r="B641" s="18" t="s">
        <v>1969</v>
      </c>
    </row>
    <row r="642" spans="1:2">
      <c r="A642" s="18" t="s">
        <v>523</v>
      </c>
      <c r="B642" s="18" t="s">
        <v>2220</v>
      </c>
    </row>
    <row r="643" spans="1:2">
      <c r="A643" s="18" t="s">
        <v>523</v>
      </c>
      <c r="B643" s="18" t="s">
        <v>2205</v>
      </c>
    </row>
    <row r="644" spans="1:2">
      <c r="A644" s="18" t="s">
        <v>524</v>
      </c>
      <c r="B644" s="18" t="s">
        <v>2343</v>
      </c>
    </row>
    <row r="645" spans="1:2">
      <c r="A645" s="18" t="s">
        <v>525</v>
      </c>
      <c r="B645" s="18" t="s">
        <v>2265</v>
      </c>
    </row>
    <row r="646" spans="1:2">
      <c r="A646" s="18" t="s">
        <v>525</v>
      </c>
      <c r="B646" s="18" t="s">
        <v>2220</v>
      </c>
    </row>
    <row r="647" spans="1:2">
      <c r="A647" s="18" t="s">
        <v>526</v>
      </c>
      <c r="B647" s="18" t="s">
        <v>2320</v>
      </c>
    </row>
    <row r="648" spans="1:2">
      <c r="A648" s="18" t="s">
        <v>526</v>
      </c>
      <c r="B648" s="18" t="s">
        <v>2121</v>
      </c>
    </row>
    <row r="649" spans="1:2">
      <c r="A649" s="18" t="s">
        <v>526</v>
      </c>
      <c r="B649" s="18" t="s">
        <v>2213</v>
      </c>
    </row>
    <row r="650" spans="1:2">
      <c r="A650" s="18" t="s">
        <v>527</v>
      </c>
      <c r="B650" s="18" t="s">
        <v>2131</v>
      </c>
    </row>
    <row r="651" spans="1:2">
      <c r="A651" s="18" t="s">
        <v>528</v>
      </c>
      <c r="B651" s="18" t="s">
        <v>2202</v>
      </c>
    </row>
    <row r="652" spans="1:2">
      <c r="A652" s="18" t="s">
        <v>529</v>
      </c>
      <c r="B652" s="18" t="s">
        <v>2454</v>
      </c>
    </row>
    <row r="653" spans="1:2">
      <c r="A653" s="18" t="s">
        <v>530</v>
      </c>
      <c r="B653" s="18" t="s">
        <v>1954</v>
      </c>
    </row>
    <row r="654" spans="1:2">
      <c r="A654" s="18" t="s">
        <v>531</v>
      </c>
      <c r="B654" s="18" t="s">
        <v>2096</v>
      </c>
    </row>
    <row r="655" spans="1:2">
      <c r="A655" s="18" t="s">
        <v>532</v>
      </c>
      <c r="B655" s="18" t="s">
        <v>2233</v>
      </c>
    </row>
    <row r="656" spans="1:2">
      <c r="A656" s="18" t="s">
        <v>533</v>
      </c>
      <c r="B656" s="18" t="s">
        <v>2130</v>
      </c>
    </row>
    <row r="657" spans="1:2">
      <c r="A657" s="18" t="s">
        <v>534</v>
      </c>
      <c r="B657" s="18" t="s">
        <v>2096</v>
      </c>
    </row>
    <row r="658" spans="1:2">
      <c r="A658" s="18" t="s">
        <v>535</v>
      </c>
      <c r="B658" s="18" t="s">
        <v>2480</v>
      </c>
    </row>
    <row r="659" spans="1:2">
      <c r="A659" s="18" t="s">
        <v>536</v>
      </c>
      <c r="B659" s="18" t="s">
        <v>2150</v>
      </c>
    </row>
    <row r="660" spans="1:2">
      <c r="A660" s="18" t="s">
        <v>537</v>
      </c>
      <c r="B660" s="18" t="s">
        <v>1900</v>
      </c>
    </row>
    <row r="661" spans="1:2">
      <c r="A661" s="18" t="s">
        <v>538</v>
      </c>
      <c r="B661" s="18" t="s">
        <v>2344</v>
      </c>
    </row>
    <row r="662" spans="1:2">
      <c r="A662" s="18" t="s">
        <v>538</v>
      </c>
      <c r="B662" s="18" t="s">
        <v>2004</v>
      </c>
    </row>
    <row r="663" spans="1:2">
      <c r="A663" s="18" t="s">
        <v>539</v>
      </c>
      <c r="B663" s="18" t="s">
        <v>2096</v>
      </c>
    </row>
    <row r="664" spans="1:2">
      <c r="A664" s="18" t="s">
        <v>540</v>
      </c>
      <c r="B664" s="18" t="s">
        <v>2179</v>
      </c>
    </row>
    <row r="665" spans="1:2">
      <c r="A665" s="18" t="s">
        <v>541</v>
      </c>
      <c r="B665" s="18" t="s">
        <v>2367</v>
      </c>
    </row>
    <row r="666" spans="1:2">
      <c r="A666" s="18" t="s">
        <v>542</v>
      </c>
      <c r="B666" s="18" t="s">
        <v>2480</v>
      </c>
    </row>
    <row r="667" spans="1:2">
      <c r="A667" s="18" t="s">
        <v>543</v>
      </c>
      <c r="B667" s="18" t="s">
        <v>2080</v>
      </c>
    </row>
    <row r="668" spans="1:2">
      <c r="A668" s="18" t="s">
        <v>543</v>
      </c>
      <c r="B668" s="18" t="s">
        <v>2213</v>
      </c>
    </row>
    <row r="669" spans="1:2">
      <c r="A669" s="18" t="s">
        <v>544</v>
      </c>
      <c r="B669" s="18" t="s">
        <v>2116</v>
      </c>
    </row>
    <row r="670" spans="1:2">
      <c r="A670" s="18" t="s">
        <v>545</v>
      </c>
      <c r="B670" s="18" t="s">
        <v>1967</v>
      </c>
    </row>
    <row r="671" spans="1:2">
      <c r="A671" s="18" t="s">
        <v>545</v>
      </c>
      <c r="B671" s="18" t="s">
        <v>1968</v>
      </c>
    </row>
    <row r="672" spans="1:2">
      <c r="A672" s="18" t="s">
        <v>546</v>
      </c>
      <c r="B672" s="18" t="s">
        <v>2367</v>
      </c>
    </row>
    <row r="673" spans="1:2">
      <c r="A673" s="18" t="s">
        <v>547</v>
      </c>
      <c r="B673" s="18" t="s">
        <v>2429</v>
      </c>
    </row>
    <row r="674" spans="1:2">
      <c r="A674" s="18" t="s">
        <v>548</v>
      </c>
      <c r="B674" s="18" t="s">
        <v>1981</v>
      </c>
    </row>
    <row r="675" spans="1:2">
      <c r="A675" s="18" t="s">
        <v>549</v>
      </c>
      <c r="B675" s="18" t="s">
        <v>1953</v>
      </c>
    </row>
    <row r="676" spans="1:2">
      <c r="A676" s="18" t="s">
        <v>550</v>
      </c>
      <c r="B676" s="18" t="s">
        <v>2376</v>
      </c>
    </row>
    <row r="677" spans="1:2">
      <c r="A677" s="18" t="s">
        <v>551</v>
      </c>
      <c r="B677" s="18" t="s">
        <v>2268</v>
      </c>
    </row>
    <row r="678" spans="1:2">
      <c r="A678" s="18" t="s">
        <v>552</v>
      </c>
      <c r="B678" s="18" t="s">
        <v>2047</v>
      </c>
    </row>
    <row r="679" spans="1:2">
      <c r="A679" s="18" t="s">
        <v>552</v>
      </c>
      <c r="B679" s="18" t="s">
        <v>2045</v>
      </c>
    </row>
    <row r="680" spans="1:2">
      <c r="A680" s="18" t="s">
        <v>553</v>
      </c>
      <c r="B680" s="18" t="s">
        <v>2480</v>
      </c>
    </row>
    <row r="681" spans="1:2">
      <c r="A681" s="18" t="s">
        <v>554</v>
      </c>
      <c r="B681" s="18" t="s">
        <v>2076</v>
      </c>
    </row>
    <row r="682" spans="1:2">
      <c r="A682" s="18" t="s">
        <v>555</v>
      </c>
      <c r="B682" s="18" t="s">
        <v>2075</v>
      </c>
    </row>
    <row r="683" spans="1:2">
      <c r="A683" s="18" t="s">
        <v>556</v>
      </c>
      <c r="B683" s="18" t="s">
        <v>2049</v>
      </c>
    </row>
    <row r="684" spans="1:2">
      <c r="A684" s="18" t="s">
        <v>557</v>
      </c>
      <c r="B684" s="18" t="s">
        <v>2390</v>
      </c>
    </row>
    <row r="685" spans="1:2">
      <c r="A685" s="18" t="s">
        <v>558</v>
      </c>
      <c r="B685" s="18" t="s">
        <v>2356</v>
      </c>
    </row>
    <row r="686" spans="1:2">
      <c r="A686" s="18" t="s">
        <v>559</v>
      </c>
      <c r="B686" s="18" t="s">
        <v>2272</v>
      </c>
    </row>
    <row r="687" spans="1:2">
      <c r="A687" s="18" t="s">
        <v>560</v>
      </c>
      <c r="B687" s="18" t="s">
        <v>2478</v>
      </c>
    </row>
    <row r="688" spans="1:2">
      <c r="A688" s="18" t="s">
        <v>561</v>
      </c>
      <c r="B688" s="18" t="s">
        <v>2017</v>
      </c>
    </row>
    <row r="689" spans="1:2">
      <c r="A689" s="18" t="s">
        <v>562</v>
      </c>
      <c r="B689" s="18" t="s">
        <v>2290</v>
      </c>
    </row>
    <row r="690" spans="1:2">
      <c r="A690" s="18" t="s">
        <v>563</v>
      </c>
      <c r="B690" s="18" t="s">
        <v>2215</v>
      </c>
    </row>
    <row r="691" spans="1:2">
      <c r="A691" s="18" t="s">
        <v>564</v>
      </c>
      <c r="B691" s="18" t="s">
        <v>2284</v>
      </c>
    </row>
    <row r="692" spans="1:2">
      <c r="A692" s="18" t="s">
        <v>565</v>
      </c>
      <c r="B692" s="18" t="s">
        <v>1990</v>
      </c>
    </row>
    <row r="693" spans="1:2">
      <c r="A693" s="18" t="s">
        <v>566</v>
      </c>
      <c r="B693" s="18" t="s">
        <v>2379</v>
      </c>
    </row>
    <row r="694" spans="1:2">
      <c r="A694" s="18" t="s">
        <v>567</v>
      </c>
      <c r="B694" s="18" t="s">
        <v>2209</v>
      </c>
    </row>
    <row r="695" spans="1:2">
      <c r="A695" s="18" t="s">
        <v>568</v>
      </c>
      <c r="B695" s="18" t="s">
        <v>2069</v>
      </c>
    </row>
    <row r="696" spans="1:2">
      <c r="A696" s="18" t="s">
        <v>569</v>
      </c>
      <c r="B696" s="18" t="s">
        <v>2053</v>
      </c>
    </row>
    <row r="697" spans="1:2">
      <c r="A697" s="18" t="s">
        <v>570</v>
      </c>
      <c r="B697" s="18" t="s">
        <v>2029</v>
      </c>
    </row>
    <row r="698" spans="1:2">
      <c r="A698" s="18" t="s">
        <v>571</v>
      </c>
      <c r="B698" s="18" t="s">
        <v>2241</v>
      </c>
    </row>
    <row r="699" spans="1:2">
      <c r="A699" s="18" t="s">
        <v>572</v>
      </c>
      <c r="B699" s="18" t="s">
        <v>2168</v>
      </c>
    </row>
    <row r="700" spans="1:2">
      <c r="A700" s="18" t="s">
        <v>573</v>
      </c>
      <c r="B700" s="18" t="s">
        <v>2242</v>
      </c>
    </row>
    <row r="701" spans="1:2">
      <c r="A701" s="18" t="s">
        <v>574</v>
      </c>
      <c r="B701" s="18" t="s">
        <v>2481</v>
      </c>
    </row>
    <row r="702" spans="1:2">
      <c r="A702" s="18" t="s">
        <v>575</v>
      </c>
      <c r="B702" s="18" t="s">
        <v>2183</v>
      </c>
    </row>
    <row r="703" spans="1:2">
      <c r="A703" s="18" t="s">
        <v>576</v>
      </c>
      <c r="B703" s="18" t="s">
        <v>2184</v>
      </c>
    </row>
    <row r="704" spans="1:2">
      <c r="A704" s="18" t="s">
        <v>577</v>
      </c>
      <c r="B704" s="18" t="s">
        <v>2182</v>
      </c>
    </row>
    <row r="705" spans="1:2">
      <c r="A705" s="18" t="s">
        <v>578</v>
      </c>
      <c r="B705" s="18" t="s">
        <v>2185</v>
      </c>
    </row>
    <row r="706" spans="1:2">
      <c r="A706" s="18" t="s">
        <v>579</v>
      </c>
      <c r="B706" s="18" t="s">
        <v>2185</v>
      </c>
    </row>
    <row r="707" spans="1:2">
      <c r="A707" s="18" t="s">
        <v>580</v>
      </c>
      <c r="B707" s="18" t="s">
        <v>2185</v>
      </c>
    </row>
    <row r="708" spans="1:2">
      <c r="A708" s="18" t="s">
        <v>581</v>
      </c>
      <c r="B708" s="18" t="s">
        <v>2181</v>
      </c>
    </row>
    <row r="709" spans="1:2">
      <c r="A709" s="18" t="s">
        <v>581</v>
      </c>
      <c r="B709" s="18" t="s">
        <v>2088</v>
      </c>
    </row>
    <row r="710" spans="1:2">
      <c r="A710" s="18" t="s">
        <v>582</v>
      </c>
      <c r="B710" s="18" t="s">
        <v>2426</v>
      </c>
    </row>
    <row r="711" spans="1:2">
      <c r="A711" s="18" t="s">
        <v>583</v>
      </c>
      <c r="B711" s="18" t="s">
        <v>2017</v>
      </c>
    </row>
    <row r="712" spans="1:2">
      <c r="A712" s="18" t="s">
        <v>584</v>
      </c>
      <c r="B712" s="18" t="s">
        <v>1892</v>
      </c>
    </row>
    <row r="713" spans="1:2">
      <c r="A713" s="18" t="s">
        <v>1745</v>
      </c>
      <c r="B713" s="18" t="s">
        <v>1898</v>
      </c>
    </row>
    <row r="714" spans="1:2">
      <c r="A714" s="18"/>
      <c r="B714" s="18"/>
    </row>
    <row r="715" spans="1:2">
      <c r="A715" s="18"/>
      <c r="B715" s="18"/>
    </row>
    <row r="716" spans="1:2">
      <c r="A716" s="18"/>
      <c r="B716" s="18"/>
    </row>
    <row r="717" spans="1:2">
      <c r="A717" s="18" t="s">
        <v>602</v>
      </c>
      <c r="B717" s="18" t="s">
        <v>2016</v>
      </c>
    </row>
    <row r="718" spans="1:2">
      <c r="A718" s="18" t="s">
        <v>609</v>
      </c>
      <c r="B718" s="18" t="s">
        <v>2264</v>
      </c>
    </row>
    <row r="719" spans="1:2">
      <c r="A719" s="18" t="s">
        <v>609</v>
      </c>
      <c r="B719" s="18" t="s">
        <v>2389</v>
      </c>
    </row>
    <row r="720" spans="1:2">
      <c r="A720" s="18" t="s">
        <v>609</v>
      </c>
      <c r="B720" s="18" t="s">
        <v>2073</v>
      </c>
    </row>
    <row r="721" spans="1:2">
      <c r="A721" s="18" t="s">
        <v>609</v>
      </c>
      <c r="B721" s="18" t="s">
        <v>2280</v>
      </c>
    </row>
    <row r="722" spans="1:2">
      <c r="A722" s="18" t="s">
        <v>609</v>
      </c>
      <c r="B722" s="18" t="s">
        <v>2218</v>
      </c>
    </row>
    <row r="723" spans="1:2">
      <c r="A723" s="18" t="s">
        <v>609</v>
      </c>
      <c r="B723" s="18" t="s">
        <v>1932</v>
      </c>
    </row>
    <row r="724" spans="1:2">
      <c r="A724" s="18" t="s">
        <v>612</v>
      </c>
      <c r="B724" s="18" t="s">
        <v>1930</v>
      </c>
    </row>
    <row r="725" spans="1:2">
      <c r="A725" s="18" t="s">
        <v>612</v>
      </c>
      <c r="B725" s="18" t="s">
        <v>2306</v>
      </c>
    </row>
    <row r="726" spans="1:2">
      <c r="A726" s="18" t="s">
        <v>612</v>
      </c>
      <c r="B726" s="18" t="s">
        <v>2387</v>
      </c>
    </row>
    <row r="727" spans="1:2">
      <c r="A727" s="18" t="s">
        <v>612</v>
      </c>
      <c r="B727" s="18" t="s">
        <v>2138</v>
      </c>
    </row>
    <row r="728" spans="1:2">
      <c r="A728" s="18" t="s">
        <v>615</v>
      </c>
      <c r="B728" s="18" t="s">
        <v>1923</v>
      </c>
    </row>
    <row r="729" spans="1:2">
      <c r="A729" s="18" t="s">
        <v>618</v>
      </c>
      <c r="B729" s="18" t="s">
        <v>2402</v>
      </c>
    </row>
    <row r="730" spans="1:2">
      <c r="A730" s="18" t="s">
        <v>618</v>
      </c>
      <c r="B730" s="18" t="s">
        <v>2096</v>
      </c>
    </row>
    <row r="731" spans="1:2">
      <c r="A731" s="18" t="s">
        <v>621</v>
      </c>
      <c r="B731" s="18" t="s">
        <v>2325</v>
      </c>
    </row>
    <row r="732" spans="1:2">
      <c r="A732" s="18" t="s">
        <v>624</v>
      </c>
      <c r="B732" s="18" t="s">
        <v>2104</v>
      </c>
    </row>
    <row r="733" spans="1:2">
      <c r="A733" s="18" t="s">
        <v>627</v>
      </c>
      <c r="B733" s="18" t="s">
        <v>2103</v>
      </c>
    </row>
    <row r="734" spans="1:2">
      <c r="A734" s="18" t="s">
        <v>630</v>
      </c>
      <c r="B734" s="18" t="s">
        <v>2101</v>
      </c>
    </row>
    <row r="735" spans="1:2">
      <c r="A735" s="18" t="s">
        <v>633</v>
      </c>
      <c r="B735" s="18" t="s">
        <v>2102</v>
      </c>
    </row>
    <row r="736" spans="1:2">
      <c r="A736" s="18" t="s">
        <v>636</v>
      </c>
      <c r="B736" s="18" t="s">
        <v>2060</v>
      </c>
    </row>
    <row r="737" spans="1:2">
      <c r="A737" s="18" t="s">
        <v>639</v>
      </c>
      <c r="B737" s="18" t="s">
        <v>2062</v>
      </c>
    </row>
    <row r="738" spans="1:2">
      <c r="A738" s="18" t="s">
        <v>642</v>
      </c>
      <c r="B738" s="18" t="s">
        <v>2061</v>
      </c>
    </row>
    <row r="739" spans="1:2">
      <c r="A739" s="18" t="s">
        <v>645</v>
      </c>
      <c r="B739" s="18" t="s">
        <v>2016</v>
      </c>
    </row>
    <row r="740" spans="1:2">
      <c r="A740" s="18" t="s">
        <v>649</v>
      </c>
      <c r="B740" s="18" t="s">
        <v>2280</v>
      </c>
    </row>
    <row r="741" spans="1:2">
      <c r="A741" s="18" t="s">
        <v>649</v>
      </c>
      <c r="B741" s="18" t="s">
        <v>1966</v>
      </c>
    </row>
    <row r="742" spans="1:2">
      <c r="A742" s="18" t="s">
        <v>649</v>
      </c>
      <c r="B742" s="18" t="s">
        <v>2389</v>
      </c>
    </row>
    <row r="743" spans="1:2">
      <c r="A743" s="18" t="s">
        <v>652</v>
      </c>
      <c r="B743" s="18" t="s">
        <v>1997</v>
      </c>
    </row>
    <row r="744" spans="1:2">
      <c r="A744" s="18" t="s">
        <v>652</v>
      </c>
      <c r="B744" s="18" t="s">
        <v>2272</v>
      </c>
    </row>
    <row r="745" spans="1:2">
      <c r="A745" s="18" t="s">
        <v>655</v>
      </c>
      <c r="B745" s="18" t="s">
        <v>2264</v>
      </c>
    </row>
    <row r="746" spans="1:2">
      <c r="A746" s="18" t="s">
        <v>658</v>
      </c>
      <c r="B746" s="18" t="s">
        <v>2314</v>
      </c>
    </row>
    <row r="747" spans="1:2">
      <c r="A747" s="18" t="s">
        <v>658</v>
      </c>
      <c r="B747" s="18" t="s">
        <v>2272</v>
      </c>
    </row>
    <row r="748" spans="1:2">
      <c r="A748" s="18" t="s">
        <v>658</v>
      </c>
      <c r="B748" s="18" t="s">
        <v>2001</v>
      </c>
    </row>
    <row r="749" spans="1:2">
      <c r="A749" s="18" t="s">
        <v>661</v>
      </c>
      <c r="B749" s="18" t="s">
        <v>1921</v>
      </c>
    </row>
    <row r="750" spans="1:2">
      <c r="A750" s="18" t="s">
        <v>664</v>
      </c>
      <c r="B750" s="18" t="s">
        <v>1925</v>
      </c>
    </row>
    <row r="751" spans="1:2">
      <c r="A751" s="18" t="s">
        <v>664</v>
      </c>
      <c r="B751" s="18" t="s">
        <v>1946</v>
      </c>
    </row>
    <row r="752" spans="1:2">
      <c r="A752" s="18" t="s">
        <v>667</v>
      </c>
      <c r="B752" s="18" t="s">
        <v>1938</v>
      </c>
    </row>
    <row r="753" spans="1:2">
      <c r="A753" s="18" t="s">
        <v>669</v>
      </c>
      <c r="B753" s="18" t="s">
        <v>1958</v>
      </c>
    </row>
    <row r="754" spans="1:2">
      <c r="A754" s="18" t="s">
        <v>671</v>
      </c>
      <c r="B754" s="18" t="s">
        <v>2327</v>
      </c>
    </row>
    <row r="755" spans="1:2">
      <c r="A755" s="18" t="s">
        <v>671</v>
      </c>
      <c r="B755" s="18" t="s">
        <v>2482</v>
      </c>
    </row>
    <row r="756" spans="1:2">
      <c r="A756" s="18" t="s">
        <v>674</v>
      </c>
      <c r="B756" s="18" t="s">
        <v>2383</v>
      </c>
    </row>
    <row r="757" spans="1:2">
      <c r="A757" s="18" t="s">
        <v>674</v>
      </c>
      <c r="B757" s="18" t="s">
        <v>2096</v>
      </c>
    </row>
    <row r="758" spans="1:2">
      <c r="A758" s="18" t="s">
        <v>674</v>
      </c>
      <c r="B758" s="18" t="s">
        <v>2473</v>
      </c>
    </row>
    <row r="759" spans="1:2">
      <c r="A759" s="18" t="s">
        <v>677</v>
      </c>
      <c r="B759" s="18" t="s">
        <v>2134</v>
      </c>
    </row>
    <row r="760" spans="1:2">
      <c r="A760" s="18" t="s">
        <v>680</v>
      </c>
      <c r="B760" s="18" t="s">
        <v>1931</v>
      </c>
    </row>
    <row r="761" spans="1:2">
      <c r="A761" s="18" t="s">
        <v>680</v>
      </c>
      <c r="B761" s="18" t="s">
        <v>1920</v>
      </c>
    </row>
    <row r="762" spans="1:2">
      <c r="A762" s="18" t="s">
        <v>683</v>
      </c>
      <c r="B762" s="18" t="s">
        <v>2023</v>
      </c>
    </row>
    <row r="763" spans="1:2">
      <c r="A763" s="18" t="s">
        <v>687</v>
      </c>
      <c r="B763" s="18" t="s">
        <v>1910</v>
      </c>
    </row>
    <row r="764" spans="1:2">
      <c r="A764" s="18" t="s">
        <v>690</v>
      </c>
      <c r="B764" s="18" t="s">
        <v>1890</v>
      </c>
    </row>
    <row r="765" spans="1:2">
      <c r="A765" s="18" t="s">
        <v>693</v>
      </c>
      <c r="B765" s="18" t="s">
        <v>2216</v>
      </c>
    </row>
    <row r="766" spans="1:2">
      <c r="A766" s="18" t="s">
        <v>696</v>
      </c>
      <c r="B766" s="18" t="s">
        <v>2137</v>
      </c>
    </row>
    <row r="767" spans="1:2">
      <c r="A767" s="18" t="s">
        <v>698</v>
      </c>
      <c r="B767" s="18" t="s">
        <v>2157</v>
      </c>
    </row>
    <row r="768" spans="1:2">
      <c r="A768" s="18" t="s">
        <v>701</v>
      </c>
      <c r="B768" s="18" t="s">
        <v>2031</v>
      </c>
    </row>
    <row r="769" spans="1:2">
      <c r="A769" s="18" t="s">
        <v>704</v>
      </c>
      <c r="B769" s="18" t="s">
        <v>2300</v>
      </c>
    </row>
    <row r="770" spans="1:2">
      <c r="A770" s="18" t="s">
        <v>707</v>
      </c>
      <c r="B770" s="18" t="s">
        <v>2431</v>
      </c>
    </row>
    <row r="771" spans="1:2">
      <c r="A771" s="18" t="s">
        <v>710</v>
      </c>
      <c r="B771" s="18" t="s">
        <v>2464</v>
      </c>
    </row>
    <row r="772" spans="1:2">
      <c r="A772" s="18" t="s">
        <v>713</v>
      </c>
      <c r="B772" s="18" t="s">
        <v>1895</v>
      </c>
    </row>
    <row r="773" spans="1:2">
      <c r="A773" s="18" t="s">
        <v>715</v>
      </c>
      <c r="B773" s="18" t="s">
        <v>2464</v>
      </c>
    </row>
    <row r="774" spans="1:2">
      <c r="A774" s="18" t="s">
        <v>718</v>
      </c>
      <c r="B774" s="18" t="s">
        <v>2016</v>
      </c>
    </row>
    <row r="775" spans="1:2">
      <c r="A775" s="18" t="s">
        <v>721</v>
      </c>
      <c r="B775" s="18" t="s">
        <v>2016</v>
      </c>
    </row>
    <row r="776" spans="1:2">
      <c r="A776" s="18" t="s">
        <v>724</v>
      </c>
      <c r="B776" s="18" t="s">
        <v>2270</v>
      </c>
    </row>
    <row r="777" spans="1:2">
      <c r="A777" s="18" t="s">
        <v>724</v>
      </c>
      <c r="B777" s="18" t="s">
        <v>2110</v>
      </c>
    </row>
    <row r="778" spans="1:2">
      <c r="A778" s="18" t="s">
        <v>724</v>
      </c>
      <c r="B778" s="18" t="s">
        <v>2441</v>
      </c>
    </row>
    <row r="779" spans="1:2">
      <c r="A779" s="18" t="s">
        <v>724</v>
      </c>
      <c r="B779" s="18" t="s">
        <v>2327</v>
      </c>
    </row>
    <row r="780" spans="1:2">
      <c r="A780" s="18" t="s">
        <v>724</v>
      </c>
      <c r="B780" s="18" t="s">
        <v>2315</v>
      </c>
    </row>
    <row r="781" spans="1:2">
      <c r="A781" s="18" t="s">
        <v>724</v>
      </c>
      <c r="B781" s="18" t="s">
        <v>2146</v>
      </c>
    </row>
    <row r="782" spans="1:2">
      <c r="A782" s="18" t="s">
        <v>727</v>
      </c>
      <c r="B782" s="18" t="s">
        <v>2464</v>
      </c>
    </row>
    <row r="783" spans="1:2">
      <c r="A783" s="18" t="s">
        <v>729</v>
      </c>
      <c r="B783" s="18" t="s">
        <v>2366</v>
      </c>
    </row>
    <row r="784" spans="1:2">
      <c r="A784" s="18" t="s">
        <v>729</v>
      </c>
      <c r="B784" s="18" t="s">
        <v>2087</v>
      </c>
    </row>
    <row r="785" spans="1:2">
      <c r="A785" s="18" t="s">
        <v>729</v>
      </c>
      <c r="B785" s="18" t="s">
        <v>2114</v>
      </c>
    </row>
    <row r="786" spans="1:2">
      <c r="A786" s="18" t="s">
        <v>732</v>
      </c>
      <c r="B786" s="18" t="s">
        <v>2380</v>
      </c>
    </row>
    <row r="787" spans="1:2">
      <c r="A787" s="18" t="s">
        <v>735</v>
      </c>
      <c r="B787" s="18" t="s">
        <v>2000</v>
      </c>
    </row>
    <row r="788" spans="1:2">
      <c r="A788" s="18" t="s">
        <v>735</v>
      </c>
      <c r="B788" s="18" t="s">
        <v>2234</v>
      </c>
    </row>
    <row r="789" spans="1:2">
      <c r="A789" s="18" t="s">
        <v>738</v>
      </c>
      <c r="B789" s="18" t="s">
        <v>1972</v>
      </c>
    </row>
    <row r="790" spans="1:2">
      <c r="A790" s="18" t="s">
        <v>741</v>
      </c>
      <c r="B790" s="18" t="s">
        <v>2464</v>
      </c>
    </row>
    <row r="791" spans="1:2">
      <c r="A791" s="18" t="s">
        <v>744</v>
      </c>
      <c r="B791" s="18" t="s">
        <v>2235</v>
      </c>
    </row>
    <row r="792" spans="1:2">
      <c r="A792" s="18" t="s">
        <v>747</v>
      </c>
      <c r="B792" s="18" t="s">
        <v>2447</v>
      </c>
    </row>
    <row r="793" spans="1:2">
      <c r="A793" s="18" t="s">
        <v>747</v>
      </c>
      <c r="B793" s="18" t="s">
        <v>2299</v>
      </c>
    </row>
    <row r="794" spans="1:2">
      <c r="A794" s="18" t="s">
        <v>750</v>
      </c>
      <c r="B794" s="18" t="s">
        <v>2430</v>
      </c>
    </row>
    <row r="795" spans="1:2">
      <c r="A795" s="18" t="s">
        <v>753</v>
      </c>
      <c r="B795" s="18" t="s">
        <v>2464</v>
      </c>
    </row>
    <row r="796" spans="1:2">
      <c r="A796" s="18" t="s">
        <v>756</v>
      </c>
      <c r="B796" s="18" t="s">
        <v>2464</v>
      </c>
    </row>
    <row r="797" spans="1:2">
      <c r="A797" s="18" t="s">
        <v>759</v>
      </c>
      <c r="B797" s="18" t="s">
        <v>2455</v>
      </c>
    </row>
    <row r="798" spans="1:2">
      <c r="A798" s="18" t="s">
        <v>762</v>
      </c>
      <c r="B798" s="18" t="s">
        <v>1891</v>
      </c>
    </row>
    <row r="799" spans="1:2">
      <c r="A799" s="18" t="s">
        <v>765</v>
      </c>
      <c r="B799" s="18" t="s">
        <v>2048</v>
      </c>
    </row>
    <row r="800" spans="1:2">
      <c r="A800" s="18" t="s">
        <v>768</v>
      </c>
      <c r="B800" s="18" t="s">
        <v>2464</v>
      </c>
    </row>
    <row r="801" spans="1:2">
      <c r="A801" s="18" t="s">
        <v>771</v>
      </c>
      <c r="B801" s="18" t="s">
        <v>2464</v>
      </c>
    </row>
    <row r="802" spans="1:2">
      <c r="A802" s="18" t="s">
        <v>774</v>
      </c>
      <c r="B802" s="18" t="s">
        <v>2134</v>
      </c>
    </row>
    <row r="803" spans="1:2">
      <c r="A803" s="18" t="s">
        <v>777</v>
      </c>
      <c r="B803" s="18" t="s">
        <v>2464</v>
      </c>
    </row>
    <row r="804" spans="1:2">
      <c r="A804" s="18" t="s">
        <v>780</v>
      </c>
      <c r="B804" s="18" t="s">
        <v>2208</v>
      </c>
    </row>
    <row r="805" spans="1:2">
      <c r="A805" s="18" t="s">
        <v>783</v>
      </c>
      <c r="B805" s="18" t="s">
        <v>2418</v>
      </c>
    </row>
    <row r="806" spans="1:2">
      <c r="A806" s="18" t="s">
        <v>786</v>
      </c>
      <c r="B806" s="18" t="s">
        <v>2341</v>
      </c>
    </row>
    <row r="807" spans="1:2">
      <c r="A807" s="18" t="s">
        <v>789</v>
      </c>
      <c r="B807" s="18" t="s">
        <v>2341</v>
      </c>
    </row>
    <row r="808" spans="1:2">
      <c r="A808" s="18" t="s">
        <v>792</v>
      </c>
      <c r="B808" s="18" t="s">
        <v>2341</v>
      </c>
    </row>
    <row r="809" spans="1:2">
      <c r="A809" s="18" t="s">
        <v>794</v>
      </c>
      <c r="B809" s="18" t="s">
        <v>2295</v>
      </c>
    </row>
    <row r="810" spans="1:2">
      <c r="A810" s="18" t="s">
        <v>797</v>
      </c>
      <c r="B810" s="18" t="s">
        <v>2059</v>
      </c>
    </row>
    <row r="811" spans="1:2">
      <c r="A811" s="18" t="s">
        <v>800</v>
      </c>
      <c r="B811" s="18" t="s">
        <v>2341</v>
      </c>
    </row>
    <row r="812" spans="1:2">
      <c r="A812" s="18" t="s">
        <v>803</v>
      </c>
      <c r="B812" s="18" t="s">
        <v>2403</v>
      </c>
    </row>
    <row r="813" spans="1:2">
      <c r="A813" s="18" t="s">
        <v>805</v>
      </c>
      <c r="B813" s="18" t="s">
        <v>2419</v>
      </c>
    </row>
    <row r="814" spans="1:2">
      <c r="A814" s="18" t="s">
        <v>808</v>
      </c>
      <c r="B814" s="18" t="s">
        <v>2361</v>
      </c>
    </row>
    <row r="815" spans="1:2">
      <c r="A815" s="18" t="s">
        <v>810</v>
      </c>
      <c r="B815" s="18" t="s">
        <v>2341</v>
      </c>
    </row>
    <row r="816" spans="1:2">
      <c r="A816" s="18" t="s">
        <v>812</v>
      </c>
      <c r="B816" s="18" t="s">
        <v>2341</v>
      </c>
    </row>
    <row r="817" spans="1:2">
      <c r="A817" s="18" t="s">
        <v>815</v>
      </c>
      <c r="B817" s="18" t="s">
        <v>2341</v>
      </c>
    </row>
    <row r="818" spans="1:2">
      <c r="A818" s="18" t="s">
        <v>817</v>
      </c>
      <c r="B818" s="18" t="s">
        <v>2341</v>
      </c>
    </row>
    <row r="819" spans="1:2">
      <c r="A819" s="18" t="s">
        <v>820</v>
      </c>
      <c r="B819" s="18" t="s">
        <v>2113</v>
      </c>
    </row>
    <row r="820" spans="1:2">
      <c r="A820" s="18" t="s">
        <v>823</v>
      </c>
      <c r="B820" s="18" t="s">
        <v>2251</v>
      </c>
    </row>
    <row r="821" spans="1:2">
      <c r="A821" s="18" t="s">
        <v>826</v>
      </c>
      <c r="B821" s="18" t="s">
        <v>2464</v>
      </c>
    </row>
    <row r="822" spans="1:2">
      <c r="A822" s="18" t="s">
        <v>829</v>
      </c>
      <c r="B822" s="18" t="s">
        <v>1912</v>
      </c>
    </row>
    <row r="823" spans="1:2">
      <c r="A823" s="18" t="s">
        <v>829</v>
      </c>
      <c r="B823" s="18" t="s">
        <v>2367</v>
      </c>
    </row>
    <row r="824" spans="1:2">
      <c r="A824" s="18" t="s">
        <v>832</v>
      </c>
      <c r="B824" s="18" t="s">
        <v>2464</v>
      </c>
    </row>
    <row r="825" spans="1:2">
      <c r="A825" s="18" t="s">
        <v>834</v>
      </c>
      <c r="B825" s="18" t="s">
        <v>2367</v>
      </c>
    </row>
    <row r="826" spans="1:2">
      <c r="A826" s="18" t="s">
        <v>837</v>
      </c>
      <c r="B826" s="18" t="s">
        <v>2367</v>
      </c>
    </row>
    <row r="827" spans="1:2">
      <c r="A827" s="18" t="s">
        <v>840</v>
      </c>
      <c r="B827" s="18" t="s">
        <v>1993</v>
      </c>
    </row>
    <row r="828" spans="1:2">
      <c r="A828" s="18" t="s">
        <v>843</v>
      </c>
      <c r="B828" s="18" t="s">
        <v>2012</v>
      </c>
    </row>
    <row r="829" spans="1:2">
      <c r="A829" s="18" t="s">
        <v>843</v>
      </c>
      <c r="B829" s="18" t="s">
        <v>2367</v>
      </c>
    </row>
    <row r="830" spans="1:2">
      <c r="A830" s="18" t="s">
        <v>846</v>
      </c>
      <c r="B830" s="18" t="s">
        <v>2190</v>
      </c>
    </row>
    <row r="831" spans="1:2">
      <c r="A831" s="18" t="s">
        <v>846</v>
      </c>
      <c r="B831" s="18" t="s">
        <v>2367</v>
      </c>
    </row>
    <row r="832" spans="1:2">
      <c r="A832" s="18" t="s">
        <v>849</v>
      </c>
      <c r="B832" s="18" t="s">
        <v>2017</v>
      </c>
    </row>
    <row r="833" spans="1:2">
      <c r="A833" s="18" t="s">
        <v>849</v>
      </c>
      <c r="B833" s="18" t="s">
        <v>2367</v>
      </c>
    </row>
    <row r="834" spans="1:2">
      <c r="A834" s="18" t="s">
        <v>852</v>
      </c>
      <c r="B834" s="18" t="s">
        <v>2217</v>
      </c>
    </row>
    <row r="835" spans="1:2">
      <c r="A835" t="s">
        <v>852</v>
      </c>
      <c r="B835" s="18" t="s">
        <v>2193</v>
      </c>
    </row>
    <row r="836" spans="1:2">
      <c r="A836" t="s">
        <v>852</v>
      </c>
      <c r="B836" s="18" t="s">
        <v>2465</v>
      </c>
    </row>
    <row r="837" spans="1:2">
      <c r="A837" s="18" t="s">
        <v>855</v>
      </c>
      <c r="B837" s="18" t="s">
        <v>2134</v>
      </c>
    </row>
    <row r="838" spans="1:2">
      <c r="A838" s="18" t="s">
        <v>855</v>
      </c>
      <c r="B838" s="18" t="s">
        <v>2364</v>
      </c>
    </row>
    <row r="839" spans="1:2">
      <c r="A839" t="s">
        <v>855</v>
      </c>
      <c r="B839" s="18" t="s">
        <v>2195</v>
      </c>
    </row>
    <row r="840" spans="1:2">
      <c r="A840" s="18" t="s">
        <v>855</v>
      </c>
      <c r="B840" s="18" t="s">
        <v>2313</v>
      </c>
    </row>
    <row r="841" spans="1:2">
      <c r="A841" s="18" t="s">
        <v>855</v>
      </c>
      <c r="B841" s="18" t="s">
        <v>2276</v>
      </c>
    </row>
    <row r="842" spans="1:2">
      <c r="A842" t="s">
        <v>858</v>
      </c>
      <c r="B842" s="18" t="s">
        <v>2016</v>
      </c>
    </row>
    <row r="843" spans="1:2">
      <c r="B843" s="18"/>
    </row>
    <row r="844" spans="1:2">
      <c r="B844" s="18"/>
    </row>
    <row r="845" spans="1:2">
      <c r="B845" s="18"/>
    </row>
    <row r="846" spans="1:2">
      <c r="B846" s="18"/>
    </row>
    <row r="847" spans="1:2">
      <c r="B847" s="18"/>
    </row>
    <row r="848" spans="1:2">
      <c r="B848" s="18"/>
    </row>
    <row r="849" spans="2:2">
      <c r="B849" s="18"/>
    </row>
    <row r="850" spans="2:2">
      <c r="B850" s="18"/>
    </row>
  </sheetData>
  <dataValidations count="2">
    <dataValidation type="list" allowBlank="1" showInputMessage="1" showErrorMessage="1" sqref="B2:B850" xr:uid="{00000000-0002-0000-0500-000002000000}">
      <formula1>INDIRECT("Sbjcts[Label]")</formula1>
    </dataValidation>
    <dataValidation type="list" allowBlank="1" showInputMessage="1" showErrorMessage="1" sqref="A2:A834" xr:uid="{00000000-0002-0000-0500-000003000000}">
      <formula1>INDIRECT("Rcrdngs[Text]")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07"/>
  <sheetViews>
    <sheetView workbookViewId="0">
      <selection activeCell="A2" sqref="A2"/>
    </sheetView>
  </sheetViews>
  <sheetFormatPr defaultColWidth="8.7109375" defaultRowHeight="14.45"/>
  <cols>
    <col min="1" max="1" width="24.42578125" bestFit="1" customWidth="1"/>
    <col min="2" max="2" width="25.5703125" bestFit="1" customWidth="1"/>
    <col min="3" max="3" width="14.28515625" bestFit="1" customWidth="1"/>
    <col min="4" max="4" width="10.85546875" bestFit="1" customWidth="1"/>
    <col min="5" max="5" width="9.28515625" bestFit="1" customWidth="1"/>
  </cols>
  <sheetData>
    <row r="1" spans="1:4">
      <c r="A1" t="s">
        <v>2496</v>
      </c>
      <c r="B1" t="s">
        <v>0</v>
      </c>
      <c r="C1" t="s">
        <v>2497</v>
      </c>
      <c r="D1" t="s">
        <v>2498</v>
      </c>
    </row>
    <row r="2" spans="1:4">
      <c r="A2" t="s">
        <v>2499</v>
      </c>
      <c r="B2" t="s">
        <v>2500</v>
      </c>
      <c r="C2" t="s">
        <v>2501</v>
      </c>
      <c r="D2" t="s">
        <v>2502</v>
      </c>
    </row>
    <row r="3" spans="1:4">
      <c r="A3" t="s">
        <v>2503</v>
      </c>
      <c r="B3" t="s">
        <v>2504</v>
      </c>
      <c r="C3" t="s">
        <v>2505</v>
      </c>
      <c r="D3" t="s">
        <v>2502</v>
      </c>
    </row>
    <row r="4" spans="1:4">
      <c r="A4" t="s">
        <v>2506</v>
      </c>
      <c r="B4" t="s">
        <v>2507</v>
      </c>
      <c r="C4" t="s">
        <v>2508</v>
      </c>
      <c r="D4" t="s">
        <v>2502</v>
      </c>
    </row>
    <row r="5" spans="1:4">
      <c r="A5" t="s">
        <v>2509</v>
      </c>
      <c r="B5" t="s">
        <v>2510</v>
      </c>
      <c r="C5" t="s">
        <v>2511</v>
      </c>
      <c r="D5" t="s">
        <v>2502</v>
      </c>
    </row>
    <row r="6" spans="1:4">
      <c r="A6" t="s">
        <v>2512</v>
      </c>
      <c r="B6" t="s">
        <v>2513</v>
      </c>
      <c r="C6" t="s">
        <v>2514</v>
      </c>
      <c r="D6" t="s">
        <v>2502</v>
      </c>
    </row>
    <row r="7" spans="1:4">
      <c r="A7" t="s">
        <v>2515</v>
      </c>
      <c r="B7" t="s">
        <v>2516</v>
      </c>
      <c r="C7" t="s">
        <v>2517</v>
      </c>
      <c r="D7" t="s">
        <v>2502</v>
      </c>
    </row>
    <row r="8" spans="1:4">
      <c r="A8" t="s">
        <v>2518</v>
      </c>
      <c r="B8" t="s">
        <v>2519</v>
      </c>
      <c r="C8" t="s">
        <v>2520</v>
      </c>
      <c r="D8" t="s">
        <v>2502</v>
      </c>
    </row>
    <row r="9" spans="1:4">
      <c r="A9" t="s">
        <v>2521</v>
      </c>
      <c r="B9" t="s">
        <v>2522</v>
      </c>
      <c r="C9" t="s">
        <v>2523</v>
      </c>
      <c r="D9" t="s">
        <v>2502</v>
      </c>
    </row>
    <row r="10" spans="1:4">
      <c r="A10" t="s">
        <v>2524</v>
      </c>
      <c r="B10" t="s">
        <v>2525</v>
      </c>
      <c r="C10" t="s">
        <v>2526</v>
      </c>
      <c r="D10" t="s">
        <v>2502</v>
      </c>
    </row>
    <row r="11" spans="1:4">
      <c r="A11" t="s">
        <v>2527</v>
      </c>
      <c r="B11" t="s">
        <v>2528</v>
      </c>
      <c r="C11" t="s">
        <v>2529</v>
      </c>
      <c r="D11" t="s">
        <v>2502</v>
      </c>
    </row>
    <row r="12" spans="1:4">
      <c r="A12" t="s">
        <v>2530</v>
      </c>
      <c r="B12" t="s">
        <v>2531</v>
      </c>
      <c r="C12" t="s">
        <v>2532</v>
      </c>
      <c r="D12" t="s">
        <v>2502</v>
      </c>
    </row>
    <row r="13" spans="1:4">
      <c r="A13" t="s">
        <v>2533</v>
      </c>
      <c r="B13" t="s">
        <v>2534</v>
      </c>
      <c r="C13" t="s">
        <v>2535</v>
      </c>
      <c r="D13" t="s">
        <v>2502</v>
      </c>
    </row>
    <row r="14" spans="1:4">
      <c r="A14" t="s">
        <v>2536</v>
      </c>
      <c r="B14" t="s">
        <v>2537</v>
      </c>
      <c r="C14" t="s">
        <v>2538</v>
      </c>
      <c r="D14" t="s">
        <v>2539</v>
      </c>
    </row>
    <row r="15" spans="1:4">
      <c r="A15" t="s">
        <v>2540</v>
      </c>
      <c r="B15" t="s">
        <v>2541</v>
      </c>
      <c r="C15" t="s">
        <v>2542</v>
      </c>
      <c r="D15" t="s">
        <v>2502</v>
      </c>
    </row>
    <row r="16" spans="1:4">
      <c r="A16" t="s">
        <v>2543</v>
      </c>
      <c r="B16" t="s">
        <v>2544</v>
      </c>
      <c r="C16" t="s">
        <v>2545</v>
      </c>
      <c r="D16" t="s">
        <v>2502</v>
      </c>
    </row>
    <row r="17" spans="1:4">
      <c r="A17" t="s">
        <v>2546</v>
      </c>
      <c r="B17" t="s">
        <v>2547</v>
      </c>
      <c r="C17" t="s">
        <v>2548</v>
      </c>
      <c r="D17" t="s">
        <v>2502</v>
      </c>
    </row>
    <row r="18" spans="1:4">
      <c r="A18" t="s">
        <v>2549</v>
      </c>
      <c r="B18" t="s">
        <v>2550</v>
      </c>
      <c r="C18" t="s">
        <v>2551</v>
      </c>
      <c r="D18" t="s">
        <v>2502</v>
      </c>
    </row>
    <row r="19" spans="1:4">
      <c r="A19" t="s">
        <v>2552</v>
      </c>
      <c r="B19" t="s">
        <v>2553</v>
      </c>
      <c r="C19" t="s">
        <v>2554</v>
      </c>
      <c r="D19" t="s">
        <v>2502</v>
      </c>
    </row>
    <row r="20" spans="1:4">
      <c r="A20" t="s">
        <v>2555</v>
      </c>
      <c r="B20" t="s">
        <v>2556</v>
      </c>
      <c r="C20" t="s">
        <v>2557</v>
      </c>
      <c r="D20" t="s">
        <v>2502</v>
      </c>
    </row>
    <row r="21" spans="1:4">
      <c r="A21" t="s">
        <v>2558</v>
      </c>
      <c r="B21" t="s">
        <v>2559</v>
      </c>
      <c r="C21" t="s">
        <v>2560</v>
      </c>
      <c r="D21" t="s">
        <v>2502</v>
      </c>
    </row>
    <row r="22" spans="1:4">
      <c r="A22" t="s">
        <v>2561</v>
      </c>
      <c r="B22" t="s">
        <v>2562</v>
      </c>
      <c r="C22" t="s">
        <v>2563</v>
      </c>
      <c r="D22" t="s">
        <v>2502</v>
      </c>
    </row>
    <row r="23" spans="1:4">
      <c r="A23" t="s">
        <v>2564</v>
      </c>
      <c r="B23" t="s">
        <v>2565</v>
      </c>
      <c r="C23" t="s">
        <v>2566</v>
      </c>
      <c r="D23" t="s">
        <v>2539</v>
      </c>
    </row>
    <row r="24" spans="1:4">
      <c r="A24" t="s">
        <v>2567</v>
      </c>
      <c r="B24" t="s">
        <v>2568</v>
      </c>
      <c r="C24" t="s">
        <v>2569</v>
      </c>
      <c r="D24" t="s">
        <v>2502</v>
      </c>
    </row>
    <row r="25" spans="1:4">
      <c r="A25" t="s">
        <v>2570</v>
      </c>
      <c r="B25" t="s">
        <v>2571</v>
      </c>
      <c r="C25" t="s">
        <v>2572</v>
      </c>
      <c r="D25" t="s">
        <v>2502</v>
      </c>
    </row>
    <row r="26" spans="1:4">
      <c r="A26" t="s">
        <v>2573</v>
      </c>
      <c r="B26" t="s">
        <v>2574</v>
      </c>
      <c r="C26" t="s">
        <v>2575</v>
      </c>
      <c r="D26" t="s">
        <v>2502</v>
      </c>
    </row>
    <row r="27" spans="1:4">
      <c r="A27" t="s">
        <v>2576</v>
      </c>
      <c r="B27" t="s">
        <v>2577</v>
      </c>
      <c r="C27" t="s">
        <v>2578</v>
      </c>
      <c r="D27" t="s">
        <v>2502</v>
      </c>
    </row>
    <row r="28" spans="1:4">
      <c r="A28" t="s">
        <v>2579</v>
      </c>
      <c r="B28" t="s">
        <v>2580</v>
      </c>
      <c r="C28" t="s">
        <v>2581</v>
      </c>
      <c r="D28" t="s">
        <v>2502</v>
      </c>
    </row>
    <row r="29" spans="1:4">
      <c r="A29" t="s">
        <v>2582</v>
      </c>
      <c r="B29" t="s">
        <v>2583</v>
      </c>
      <c r="C29" t="s">
        <v>2584</v>
      </c>
      <c r="D29" t="s">
        <v>2539</v>
      </c>
    </row>
    <row r="30" spans="1:4">
      <c r="A30" t="s">
        <v>2585</v>
      </c>
      <c r="B30" t="s">
        <v>2586</v>
      </c>
      <c r="C30" t="s">
        <v>2587</v>
      </c>
      <c r="D30" t="s">
        <v>2502</v>
      </c>
    </row>
    <row r="31" spans="1:4">
      <c r="A31" t="s">
        <v>2588</v>
      </c>
      <c r="B31" t="s">
        <v>2589</v>
      </c>
      <c r="C31" t="s">
        <v>2590</v>
      </c>
      <c r="D31" t="s">
        <v>2502</v>
      </c>
    </row>
    <row r="32" spans="1:4">
      <c r="A32" t="s">
        <v>2591</v>
      </c>
      <c r="B32" t="s">
        <v>2592</v>
      </c>
      <c r="C32" t="s">
        <v>2593</v>
      </c>
      <c r="D32" t="s">
        <v>2502</v>
      </c>
    </row>
    <row r="33" spans="1:4">
      <c r="A33" t="s">
        <v>2594</v>
      </c>
      <c r="B33" t="s">
        <v>2595</v>
      </c>
      <c r="C33" t="s">
        <v>2596</v>
      </c>
      <c r="D33" t="s">
        <v>2502</v>
      </c>
    </row>
    <row r="34" spans="1:4">
      <c r="A34" t="s">
        <v>2597</v>
      </c>
      <c r="B34" t="s">
        <v>2598</v>
      </c>
      <c r="C34" t="s">
        <v>2599</v>
      </c>
      <c r="D34" t="s">
        <v>2502</v>
      </c>
    </row>
    <row r="35" spans="1:4">
      <c r="A35" t="s">
        <v>2600</v>
      </c>
      <c r="B35" t="s">
        <v>2601</v>
      </c>
      <c r="C35" t="s">
        <v>2602</v>
      </c>
      <c r="D35" t="s">
        <v>2539</v>
      </c>
    </row>
    <row r="36" spans="1:4">
      <c r="A36" t="s">
        <v>2603</v>
      </c>
      <c r="B36" t="s">
        <v>2604</v>
      </c>
      <c r="C36" t="s">
        <v>2605</v>
      </c>
      <c r="D36" t="s">
        <v>2502</v>
      </c>
    </row>
    <row r="37" spans="1:4">
      <c r="A37" t="s">
        <v>2606</v>
      </c>
      <c r="B37" t="s">
        <v>2607</v>
      </c>
      <c r="C37" t="s">
        <v>2608</v>
      </c>
      <c r="D37" t="s">
        <v>2502</v>
      </c>
    </row>
    <row r="38" spans="1:4">
      <c r="A38" t="s">
        <v>2609</v>
      </c>
      <c r="B38" t="s">
        <v>2610</v>
      </c>
      <c r="C38" t="s">
        <v>2611</v>
      </c>
      <c r="D38" t="s">
        <v>2502</v>
      </c>
    </row>
    <row r="39" spans="1:4">
      <c r="A39" t="s">
        <v>2612</v>
      </c>
      <c r="B39" t="s">
        <v>2613</v>
      </c>
      <c r="C39" t="s">
        <v>2614</v>
      </c>
      <c r="D39" t="s">
        <v>2502</v>
      </c>
    </row>
    <row r="40" spans="1:4">
      <c r="A40" t="s">
        <v>2615</v>
      </c>
      <c r="B40" t="s">
        <v>2616</v>
      </c>
      <c r="C40" t="s">
        <v>2617</v>
      </c>
      <c r="D40" t="s">
        <v>2502</v>
      </c>
    </row>
    <row r="41" spans="1:4">
      <c r="A41" t="s">
        <v>2618</v>
      </c>
      <c r="B41" t="s">
        <v>2619</v>
      </c>
      <c r="C41" t="s">
        <v>2620</v>
      </c>
      <c r="D41" t="s">
        <v>2502</v>
      </c>
    </row>
    <row r="42" spans="1:4">
      <c r="A42" t="s">
        <v>2621</v>
      </c>
      <c r="B42" t="s">
        <v>2622</v>
      </c>
      <c r="C42" t="s">
        <v>2623</v>
      </c>
      <c r="D42" t="s">
        <v>2502</v>
      </c>
    </row>
    <row r="43" spans="1:4">
      <c r="A43" t="s">
        <v>2624</v>
      </c>
      <c r="B43" t="s">
        <v>2625</v>
      </c>
      <c r="C43" t="s">
        <v>2626</v>
      </c>
      <c r="D43" t="s">
        <v>2502</v>
      </c>
    </row>
    <row r="44" spans="1:4">
      <c r="A44" t="s">
        <v>2627</v>
      </c>
      <c r="B44" t="s">
        <v>2628</v>
      </c>
      <c r="C44" t="s">
        <v>2629</v>
      </c>
      <c r="D44" t="s">
        <v>2502</v>
      </c>
    </row>
    <row r="45" spans="1:4">
      <c r="A45" t="s">
        <v>2630</v>
      </c>
      <c r="B45" t="s">
        <v>2631</v>
      </c>
      <c r="C45" t="s">
        <v>2632</v>
      </c>
      <c r="D45" t="s">
        <v>2502</v>
      </c>
    </row>
    <row r="46" spans="1:4">
      <c r="A46" t="s">
        <v>2633</v>
      </c>
      <c r="B46" t="s">
        <v>2634</v>
      </c>
      <c r="C46" t="s">
        <v>2635</v>
      </c>
      <c r="D46" t="s">
        <v>2502</v>
      </c>
    </row>
    <row r="47" spans="1:4">
      <c r="A47" t="s">
        <v>2636</v>
      </c>
      <c r="B47" t="s">
        <v>2637</v>
      </c>
      <c r="C47" t="s">
        <v>2638</v>
      </c>
      <c r="D47" t="s">
        <v>2502</v>
      </c>
    </row>
    <row r="48" spans="1:4">
      <c r="A48" t="s">
        <v>2639</v>
      </c>
      <c r="B48" t="s">
        <v>2640</v>
      </c>
      <c r="C48" t="s">
        <v>2641</v>
      </c>
      <c r="D48" t="s">
        <v>2502</v>
      </c>
    </row>
    <row r="49" spans="1:4">
      <c r="A49" t="s">
        <v>2642</v>
      </c>
      <c r="B49" t="s">
        <v>2643</v>
      </c>
      <c r="C49" t="s">
        <v>2644</v>
      </c>
      <c r="D49" t="s">
        <v>2502</v>
      </c>
    </row>
    <row r="50" spans="1:4">
      <c r="A50" t="s">
        <v>2645</v>
      </c>
      <c r="B50" t="s">
        <v>2646</v>
      </c>
      <c r="C50" t="s">
        <v>2647</v>
      </c>
      <c r="D50" t="s">
        <v>2502</v>
      </c>
    </row>
    <row r="51" spans="1:4">
      <c r="A51" t="s">
        <v>2648</v>
      </c>
      <c r="B51" t="s">
        <v>2649</v>
      </c>
      <c r="C51" t="s">
        <v>2650</v>
      </c>
      <c r="D51" t="s">
        <v>2502</v>
      </c>
    </row>
    <row r="52" spans="1:4">
      <c r="A52" t="s">
        <v>2651</v>
      </c>
      <c r="B52" t="s">
        <v>2652</v>
      </c>
      <c r="C52" t="s">
        <v>2653</v>
      </c>
      <c r="D52" t="s">
        <v>2502</v>
      </c>
    </row>
    <row r="53" spans="1:4">
      <c r="A53" t="s">
        <v>2654</v>
      </c>
      <c r="B53" t="s">
        <v>2655</v>
      </c>
      <c r="C53" t="s">
        <v>2656</v>
      </c>
      <c r="D53" t="s">
        <v>2539</v>
      </c>
    </row>
    <row r="54" spans="1:4">
      <c r="A54" t="s">
        <v>2657</v>
      </c>
      <c r="B54" t="s">
        <v>2658</v>
      </c>
      <c r="C54" t="s">
        <v>2659</v>
      </c>
      <c r="D54" t="s">
        <v>2502</v>
      </c>
    </row>
    <row r="55" spans="1:4">
      <c r="A55" t="s">
        <v>2660</v>
      </c>
      <c r="B55" t="s">
        <v>2661</v>
      </c>
      <c r="C55" t="s">
        <v>2662</v>
      </c>
      <c r="D55" t="s">
        <v>2502</v>
      </c>
    </row>
    <row r="56" spans="1:4">
      <c r="A56" t="s">
        <v>2663</v>
      </c>
      <c r="B56" t="s">
        <v>2664</v>
      </c>
      <c r="C56" t="s">
        <v>2665</v>
      </c>
      <c r="D56" t="s">
        <v>2502</v>
      </c>
    </row>
    <row r="57" spans="1:4">
      <c r="A57" t="s">
        <v>2666</v>
      </c>
      <c r="B57" t="s">
        <v>2667</v>
      </c>
      <c r="C57" t="s">
        <v>2668</v>
      </c>
      <c r="D57" t="s">
        <v>2502</v>
      </c>
    </row>
    <row r="58" spans="1:4">
      <c r="A58" t="s">
        <v>2669</v>
      </c>
      <c r="B58" t="s">
        <v>2670</v>
      </c>
      <c r="C58" t="s">
        <v>2671</v>
      </c>
      <c r="D58" t="s">
        <v>2502</v>
      </c>
    </row>
    <row r="59" spans="1:4">
      <c r="A59" t="s">
        <v>2672</v>
      </c>
      <c r="B59" t="s">
        <v>2673</v>
      </c>
      <c r="C59" t="s">
        <v>2674</v>
      </c>
      <c r="D59" t="s">
        <v>2502</v>
      </c>
    </row>
    <row r="60" spans="1:4">
      <c r="A60" t="s">
        <v>2675</v>
      </c>
      <c r="B60" t="s">
        <v>2676</v>
      </c>
      <c r="C60" t="s">
        <v>2677</v>
      </c>
      <c r="D60" t="s">
        <v>2502</v>
      </c>
    </row>
    <row r="61" spans="1:4">
      <c r="A61" t="s">
        <v>2678</v>
      </c>
      <c r="B61" t="s">
        <v>2679</v>
      </c>
      <c r="C61" t="s">
        <v>2680</v>
      </c>
      <c r="D61" t="s">
        <v>2502</v>
      </c>
    </row>
    <row r="62" spans="1:4">
      <c r="A62" t="s">
        <v>2681</v>
      </c>
      <c r="B62" t="s">
        <v>2682</v>
      </c>
      <c r="C62" t="s">
        <v>2683</v>
      </c>
      <c r="D62" t="s">
        <v>2502</v>
      </c>
    </row>
    <row r="63" spans="1:4">
      <c r="A63" t="s">
        <v>2684</v>
      </c>
      <c r="B63" t="s">
        <v>2685</v>
      </c>
      <c r="C63" t="s">
        <v>2686</v>
      </c>
      <c r="D63" t="s">
        <v>2502</v>
      </c>
    </row>
    <row r="64" spans="1:4">
      <c r="A64" t="s">
        <v>2687</v>
      </c>
      <c r="B64" t="s">
        <v>2688</v>
      </c>
      <c r="C64" t="s">
        <v>2689</v>
      </c>
      <c r="D64" t="s">
        <v>2539</v>
      </c>
    </row>
    <row r="65" spans="1:4">
      <c r="A65" t="s">
        <v>2690</v>
      </c>
      <c r="B65" t="s">
        <v>2691</v>
      </c>
      <c r="C65" t="s">
        <v>2692</v>
      </c>
      <c r="D65" t="s">
        <v>2502</v>
      </c>
    </row>
    <row r="66" spans="1:4">
      <c r="A66" t="s">
        <v>2693</v>
      </c>
      <c r="B66" t="s">
        <v>2694</v>
      </c>
      <c r="C66" t="s">
        <v>2695</v>
      </c>
      <c r="D66" t="s">
        <v>2502</v>
      </c>
    </row>
    <row r="67" spans="1:4">
      <c r="A67" t="s">
        <v>2696</v>
      </c>
      <c r="B67" t="s">
        <v>2697</v>
      </c>
      <c r="C67" t="s">
        <v>2698</v>
      </c>
      <c r="D67" t="s">
        <v>2502</v>
      </c>
    </row>
    <row r="68" spans="1:4">
      <c r="A68" t="s">
        <v>2699</v>
      </c>
      <c r="B68" t="s">
        <v>2700</v>
      </c>
      <c r="C68" t="s">
        <v>2701</v>
      </c>
      <c r="D68" t="s">
        <v>2502</v>
      </c>
    </row>
    <row r="69" spans="1:4">
      <c r="A69" t="s">
        <v>2702</v>
      </c>
      <c r="B69" t="s">
        <v>2703</v>
      </c>
      <c r="C69" t="s">
        <v>2704</v>
      </c>
      <c r="D69" t="s">
        <v>2502</v>
      </c>
    </row>
    <row r="70" spans="1:4">
      <c r="A70" t="s">
        <v>2705</v>
      </c>
      <c r="B70" t="s">
        <v>2706</v>
      </c>
      <c r="C70" t="s">
        <v>2707</v>
      </c>
      <c r="D70" t="s">
        <v>2502</v>
      </c>
    </row>
    <row r="71" spans="1:4">
      <c r="A71" t="s">
        <v>2708</v>
      </c>
      <c r="B71" t="s">
        <v>2709</v>
      </c>
      <c r="C71" t="s">
        <v>2710</v>
      </c>
      <c r="D71" t="s">
        <v>2539</v>
      </c>
    </row>
    <row r="72" spans="1:4">
      <c r="A72" t="s">
        <v>2711</v>
      </c>
      <c r="B72" t="s">
        <v>2712</v>
      </c>
      <c r="C72" t="s">
        <v>2713</v>
      </c>
      <c r="D72" t="s">
        <v>2502</v>
      </c>
    </row>
    <row r="73" spans="1:4">
      <c r="A73" t="s">
        <v>2714</v>
      </c>
      <c r="B73" t="s">
        <v>2715</v>
      </c>
      <c r="C73" t="s">
        <v>2716</v>
      </c>
      <c r="D73" t="s">
        <v>2502</v>
      </c>
    </row>
    <row r="74" spans="1:4">
      <c r="A74" t="s">
        <v>2717</v>
      </c>
      <c r="B74" t="s">
        <v>2718</v>
      </c>
      <c r="C74" t="s">
        <v>2719</v>
      </c>
      <c r="D74" t="s">
        <v>2502</v>
      </c>
    </row>
    <row r="75" spans="1:4">
      <c r="A75" t="s">
        <v>2720</v>
      </c>
      <c r="B75" t="s">
        <v>2721</v>
      </c>
      <c r="C75" t="s">
        <v>2722</v>
      </c>
      <c r="D75" t="s">
        <v>2539</v>
      </c>
    </row>
    <row r="76" spans="1:4">
      <c r="A76" t="s">
        <v>2723</v>
      </c>
      <c r="B76" t="s">
        <v>2724</v>
      </c>
      <c r="C76" t="s">
        <v>2725</v>
      </c>
      <c r="D76" t="s">
        <v>2502</v>
      </c>
    </row>
    <row r="77" spans="1:4">
      <c r="A77" t="s">
        <v>2726</v>
      </c>
      <c r="B77" t="s">
        <v>2727</v>
      </c>
      <c r="C77" t="s">
        <v>2728</v>
      </c>
      <c r="D77" t="s">
        <v>2502</v>
      </c>
    </row>
    <row r="78" spans="1:4">
      <c r="A78" t="s">
        <v>2729</v>
      </c>
      <c r="B78" t="s">
        <v>2730</v>
      </c>
      <c r="C78" t="s">
        <v>2731</v>
      </c>
      <c r="D78" t="s">
        <v>2502</v>
      </c>
    </row>
    <row r="79" spans="1:4">
      <c r="A79" t="s">
        <v>2732</v>
      </c>
      <c r="B79" t="s">
        <v>2733</v>
      </c>
      <c r="C79" t="s">
        <v>2734</v>
      </c>
      <c r="D79" t="s">
        <v>2502</v>
      </c>
    </row>
    <row r="80" spans="1:4">
      <c r="A80" t="s">
        <v>2735</v>
      </c>
      <c r="B80" t="s">
        <v>2736</v>
      </c>
      <c r="C80" t="s">
        <v>2737</v>
      </c>
      <c r="D80" t="s">
        <v>2502</v>
      </c>
    </row>
    <row r="81" spans="1:4">
      <c r="A81" t="s">
        <v>2738</v>
      </c>
      <c r="B81" t="s">
        <v>2739</v>
      </c>
      <c r="C81" t="s">
        <v>2740</v>
      </c>
      <c r="D81" t="s">
        <v>2502</v>
      </c>
    </row>
    <row r="82" spans="1:4">
      <c r="A82" t="s">
        <v>2741</v>
      </c>
      <c r="B82" t="s">
        <v>2742</v>
      </c>
      <c r="C82" t="s">
        <v>2743</v>
      </c>
      <c r="D82" t="s">
        <v>2502</v>
      </c>
    </row>
    <row r="83" spans="1:4">
      <c r="A83" t="s">
        <v>2744</v>
      </c>
      <c r="B83" t="s">
        <v>2745</v>
      </c>
      <c r="C83" t="s">
        <v>2746</v>
      </c>
      <c r="D83" t="s">
        <v>2502</v>
      </c>
    </row>
    <row r="84" spans="1:4">
      <c r="A84" t="s">
        <v>2747</v>
      </c>
      <c r="B84" t="s">
        <v>2748</v>
      </c>
      <c r="C84" t="s">
        <v>2749</v>
      </c>
      <c r="D84" t="s">
        <v>2539</v>
      </c>
    </row>
    <row r="85" spans="1:4">
      <c r="A85" t="s">
        <v>2750</v>
      </c>
      <c r="B85" t="s">
        <v>2751</v>
      </c>
      <c r="C85" t="s">
        <v>2752</v>
      </c>
      <c r="D85" t="s">
        <v>2539</v>
      </c>
    </row>
    <row r="86" spans="1:4">
      <c r="A86" t="s">
        <v>2753</v>
      </c>
      <c r="B86" t="s">
        <v>2754</v>
      </c>
      <c r="C86" t="s">
        <v>2755</v>
      </c>
      <c r="D86" t="s">
        <v>2502</v>
      </c>
    </row>
    <row r="87" spans="1:4">
      <c r="A87" t="s">
        <v>2756</v>
      </c>
      <c r="B87" t="s">
        <v>2757</v>
      </c>
      <c r="C87" t="s">
        <v>2758</v>
      </c>
      <c r="D87" t="s">
        <v>2502</v>
      </c>
    </row>
    <row r="88" spans="1:4">
      <c r="A88" t="s">
        <v>2759</v>
      </c>
      <c r="B88" t="s">
        <v>2760</v>
      </c>
      <c r="C88" t="s">
        <v>2761</v>
      </c>
      <c r="D88" t="s">
        <v>2539</v>
      </c>
    </row>
    <row r="89" spans="1:4">
      <c r="A89" t="s">
        <v>2762</v>
      </c>
      <c r="B89" t="s">
        <v>2763</v>
      </c>
      <c r="C89" t="s">
        <v>2764</v>
      </c>
      <c r="D89" t="s">
        <v>2502</v>
      </c>
    </row>
    <row r="90" spans="1:4">
      <c r="A90" t="s">
        <v>2765</v>
      </c>
      <c r="B90" t="s">
        <v>2766</v>
      </c>
      <c r="C90" t="s">
        <v>2767</v>
      </c>
      <c r="D90" t="s">
        <v>2502</v>
      </c>
    </row>
    <row r="91" spans="1:4">
      <c r="A91" t="s">
        <v>2768</v>
      </c>
      <c r="B91" t="s">
        <v>2769</v>
      </c>
      <c r="C91" t="s">
        <v>2770</v>
      </c>
      <c r="D91" t="s">
        <v>2502</v>
      </c>
    </row>
    <row r="92" spans="1:4">
      <c r="A92" t="s">
        <v>2771</v>
      </c>
      <c r="B92" t="s">
        <v>2772</v>
      </c>
      <c r="C92" t="s">
        <v>2773</v>
      </c>
      <c r="D92" t="s">
        <v>2539</v>
      </c>
    </row>
    <row r="93" spans="1:4">
      <c r="A93" t="s">
        <v>2774</v>
      </c>
      <c r="B93" t="s">
        <v>2775</v>
      </c>
      <c r="C93" t="s">
        <v>2776</v>
      </c>
      <c r="D93" t="s">
        <v>2502</v>
      </c>
    </row>
    <row r="94" spans="1:4">
      <c r="A94" t="s">
        <v>2777</v>
      </c>
      <c r="B94" t="s">
        <v>2778</v>
      </c>
      <c r="C94" t="s">
        <v>2779</v>
      </c>
      <c r="D94" t="s">
        <v>2502</v>
      </c>
    </row>
    <row r="95" spans="1:4">
      <c r="A95" t="s">
        <v>2780</v>
      </c>
      <c r="B95" t="s">
        <v>2781</v>
      </c>
      <c r="C95" t="s">
        <v>2782</v>
      </c>
      <c r="D95" t="s">
        <v>2502</v>
      </c>
    </row>
    <row r="96" spans="1:4">
      <c r="A96" t="s">
        <v>2783</v>
      </c>
      <c r="B96" t="s">
        <v>2784</v>
      </c>
      <c r="C96" t="s">
        <v>2785</v>
      </c>
      <c r="D96" t="s">
        <v>2502</v>
      </c>
    </row>
    <row r="97" spans="1:4">
      <c r="A97" t="s">
        <v>2786</v>
      </c>
      <c r="B97" t="s">
        <v>2787</v>
      </c>
      <c r="C97" t="s">
        <v>2788</v>
      </c>
      <c r="D97" t="s">
        <v>2539</v>
      </c>
    </row>
    <row r="98" spans="1:4">
      <c r="A98" t="s">
        <v>2789</v>
      </c>
      <c r="B98" t="s">
        <v>2790</v>
      </c>
      <c r="C98" t="s">
        <v>2791</v>
      </c>
      <c r="D98" t="s">
        <v>2502</v>
      </c>
    </row>
    <row r="99" spans="1:4">
      <c r="A99" t="s">
        <v>2792</v>
      </c>
      <c r="B99" t="s">
        <v>2793</v>
      </c>
      <c r="C99" t="s">
        <v>2794</v>
      </c>
      <c r="D99" t="s">
        <v>2502</v>
      </c>
    </row>
    <row r="100" spans="1:4">
      <c r="A100" t="s">
        <v>2795</v>
      </c>
      <c r="B100" t="s">
        <v>2796</v>
      </c>
      <c r="C100" t="s">
        <v>2797</v>
      </c>
      <c r="D100" t="s">
        <v>2539</v>
      </c>
    </row>
    <row r="101" spans="1:4">
      <c r="A101" t="s">
        <v>2798</v>
      </c>
      <c r="B101" t="s">
        <v>2799</v>
      </c>
      <c r="C101" t="s">
        <v>2800</v>
      </c>
      <c r="D101" t="s">
        <v>2502</v>
      </c>
    </row>
    <row r="102" spans="1:4">
      <c r="A102" t="s">
        <v>2801</v>
      </c>
      <c r="B102" t="s">
        <v>2802</v>
      </c>
      <c r="C102" t="s">
        <v>2803</v>
      </c>
      <c r="D102" t="s">
        <v>2502</v>
      </c>
    </row>
    <row r="103" spans="1:4">
      <c r="A103" t="s">
        <v>2804</v>
      </c>
      <c r="B103" t="s">
        <v>2805</v>
      </c>
      <c r="C103" t="s">
        <v>2806</v>
      </c>
      <c r="D103" t="s">
        <v>2502</v>
      </c>
    </row>
    <row r="104" spans="1:4">
      <c r="A104" t="s">
        <v>2807</v>
      </c>
      <c r="B104" t="s">
        <v>2808</v>
      </c>
      <c r="C104" t="s">
        <v>2809</v>
      </c>
      <c r="D104" t="s">
        <v>2502</v>
      </c>
    </row>
    <row r="105" spans="1:4">
      <c r="A105" t="s">
        <v>2810</v>
      </c>
      <c r="B105" t="s">
        <v>2811</v>
      </c>
      <c r="C105" t="s">
        <v>2812</v>
      </c>
      <c r="D105" t="s">
        <v>2502</v>
      </c>
    </row>
    <row r="106" spans="1:4">
      <c r="A106" t="s">
        <v>2813</v>
      </c>
      <c r="B106" t="s">
        <v>2814</v>
      </c>
      <c r="C106" t="s">
        <v>2815</v>
      </c>
      <c r="D106" t="s">
        <v>2502</v>
      </c>
    </row>
    <row r="107" spans="1:4">
      <c r="A107" t="s">
        <v>2816</v>
      </c>
      <c r="B107" t="s">
        <v>2817</v>
      </c>
      <c r="C107" t="s">
        <v>2818</v>
      </c>
      <c r="D107" t="s">
        <v>2502</v>
      </c>
    </row>
    <row r="108" spans="1:4">
      <c r="A108" t="s">
        <v>2819</v>
      </c>
      <c r="B108" t="s">
        <v>2820</v>
      </c>
      <c r="C108" t="s">
        <v>2821</v>
      </c>
      <c r="D108" t="s">
        <v>2502</v>
      </c>
    </row>
    <row r="109" spans="1:4">
      <c r="A109" t="s">
        <v>2822</v>
      </c>
      <c r="B109" t="s">
        <v>2823</v>
      </c>
      <c r="C109" t="s">
        <v>2824</v>
      </c>
      <c r="D109" t="s">
        <v>2502</v>
      </c>
    </row>
    <row r="110" spans="1:4">
      <c r="A110" t="s">
        <v>2825</v>
      </c>
      <c r="B110" t="s">
        <v>2826</v>
      </c>
      <c r="C110" t="s">
        <v>2827</v>
      </c>
      <c r="D110" t="s">
        <v>2502</v>
      </c>
    </row>
    <row r="111" spans="1:4">
      <c r="A111" t="s">
        <v>2828</v>
      </c>
      <c r="B111" t="s">
        <v>2829</v>
      </c>
      <c r="C111" t="s">
        <v>2830</v>
      </c>
      <c r="D111" t="s">
        <v>2502</v>
      </c>
    </row>
    <row r="112" spans="1:4">
      <c r="A112" t="s">
        <v>2831</v>
      </c>
      <c r="B112" t="s">
        <v>2832</v>
      </c>
      <c r="C112" t="s">
        <v>2833</v>
      </c>
      <c r="D112" t="s">
        <v>2502</v>
      </c>
    </row>
    <row r="113" spans="1:4">
      <c r="A113" t="s">
        <v>2834</v>
      </c>
      <c r="B113" t="s">
        <v>2835</v>
      </c>
      <c r="C113" t="s">
        <v>2836</v>
      </c>
      <c r="D113" t="s">
        <v>2539</v>
      </c>
    </row>
    <row r="114" spans="1:4">
      <c r="A114" t="s">
        <v>2837</v>
      </c>
      <c r="B114" t="s">
        <v>2838</v>
      </c>
      <c r="C114" t="s">
        <v>2839</v>
      </c>
      <c r="D114" t="s">
        <v>2502</v>
      </c>
    </row>
    <row r="115" spans="1:4">
      <c r="A115" t="s">
        <v>2840</v>
      </c>
      <c r="B115" t="s">
        <v>2841</v>
      </c>
      <c r="C115" t="s">
        <v>2842</v>
      </c>
      <c r="D115" t="s">
        <v>2502</v>
      </c>
    </row>
    <row r="116" spans="1:4">
      <c r="A116" t="s">
        <v>2843</v>
      </c>
      <c r="B116" t="s">
        <v>2844</v>
      </c>
      <c r="C116" t="s">
        <v>2845</v>
      </c>
      <c r="D116" t="s">
        <v>2502</v>
      </c>
    </row>
    <row r="117" spans="1:4">
      <c r="A117" t="s">
        <v>2846</v>
      </c>
      <c r="B117" t="s">
        <v>2847</v>
      </c>
      <c r="C117" t="s">
        <v>2848</v>
      </c>
      <c r="D117" t="s">
        <v>2539</v>
      </c>
    </row>
    <row r="118" spans="1:4">
      <c r="A118" t="s">
        <v>2849</v>
      </c>
      <c r="B118" t="s">
        <v>2850</v>
      </c>
      <c r="C118" t="s">
        <v>2851</v>
      </c>
      <c r="D118" t="s">
        <v>2502</v>
      </c>
    </row>
    <row r="119" spans="1:4">
      <c r="A119" t="s">
        <v>2852</v>
      </c>
      <c r="B119" t="s">
        <v>2853</v>
      </c>
      <c r="C119" t="s">
        <v>2854</v>
      </c>
      <c r="D119" t="s">
        <v>2502</v>
      </c>
    </row>
    <row r="120" spans="1:4">
      <c r="A120" t="s">
        <v>2855</v>
      </c>
      <c r="B120" t="s">
        <v>2856</v>
      </c>
      <c r="C120" t="s">
        <v>2857</v>
      </c>
      <c r="D120" t="s">
        <v>2502</v>
      </c>
    </row>
    <row r="121" spans="1:4">
      <c r="A121" t="s">
        <v>2858</v>
      </c>
      <c r="B121" t="s">
        <v>2859</v>
      </c>
      <c r="C121" t="s">
        <v>2860</v>
      </c>
      <c r="D121" t="s">
        <v>2502</v>
      </c>
    </row>
    <row r="122" spans="1:4">
      <c r="A122" t="s">
        <v>2861</v>
      </c>
      <c r="B122" t="s">
        <v>2862</v>
      </c>
      <c r="C122" t="s">
        <v>2863</v>
      </c>
      <c r="D122" t="s">
        <v>2502</v>
      </c>
    </row>
    <row r="123" spans="1:4">
      <c r="A123" t="s">
        <v>2864</v>
      </c>
      <c r="B123" t="s">
        <v>2865</v>
      </c>
      <c r="C123" t="s">
        <v>2866</v>
      </c>
      <c r="D123" t="s">
        <v>2502</v>
      </c>
    </row>
    <row r="124" spans="1:4">
      <c r="A124" t="s">
        <v>2867</v>
      </c>
      <c r="B124" t="s">
        <v>2868</v>
      </c>
      <c r="C124" t="s">
        <v>2869</v>
      </c>
      <c r="D124" t="s">
        <v>2502</v>
      </c>
    </row>
    <row r="125" spans="1:4">
      <c r="A125" t="s">
        <v>2870</v>
      </c>
      <c r="B125" t="s">
        <v>2871</v>
      </c>
      <c r="C125" t="s">
        <v>2872</v>
      </c>
      <c r="D125" t="s">
        <v>2539</v>
      </c>
    </row>
    <row r="126" spans="1:4">
      <c r="A126" t="s">
        <v>2873</v>
      </c>
      <c r="B126" t="s">
        <v>2874</v>
      </c>
      <c r="C126" t="s">
        <v>2875</v>
      </c>
      <c r="D126" t="s">
        <v>2502</v>
      </c>
    </row>
    <row r="127" spans="1:4">
      <c r="A127" t="s">
        <v>2876</v>
      </c>
      <c r="B127" t="s">
        <v>2877</v>
      </c>
      <c r="C127" t="s">
        <v>2878</v>
      </c>
      <c r="D127" t="s">
        <v>2502</v>
      </c>
    </row>
    <row r="128" spans="1:4">
      <c r="A128" t="s">
        <v>2879</v>
      </c>
      <c r="B128" t="s">
        <v>2880</v>
      </c>
      <c r="C128" t="s">
        <v>2881</v>
      </c>
      <c r="D128" t="s">
        <v>2502</v>
      </c>
    </row>
    <row r="129" spans="1:4">
      <c r="A129" t="s">
        <v>2882</v>
      </c>
      <c r="B129" t="s">
        <v>2883</v>
      </c>
      <c r="C129" t="s">
        <v>2884</v>
      </c>
      <c r="D129" t="s">
        <v>2502</v>
      </c>
    </row>
    <row r="130" spans="1:4">
      <c r="A130" t="s">
        <v>2885</v>
      </c>
      <c r="B130" t="s">
        <v>2886</v>
      </c>
      <c r="C130" t="s">
        <v>2887</v>
      </c>
      <c r="D130" t="s">
        <v>2502</v>
      </c>
    </row>
    <row r="131" spans="1:4">
      <c r="A131" t="s">
        <v>2888</v>
      </c>
      <c r="B131" t="s">
        <v>2889</v>
      </c>
      <c r="C131" t="s">
        <v>2890</v>
      </c>
      <c r="D131" t="s">
        <v>2502</v>
      </c>
    </row>
    <row r="132" spans="1:4">
      <c r="A132" t="s">
        <v>2891</v>
      </c>
      <c r="B132" t="s">
        <v>2892</v>
      </c>
      <c r="C132" t="s">
        <v>2893</v>
      </c>
      <c r="D132" t="s">
        <v>2502</v>
      </c>
    </row>
    <row r="133" spans="1:4">
      <c r="A133" t="s">
        <v>2894</v>
      </c>
      <c r="B133" t="s">
        <v>2895</v>
      </c>
      <c r="C133" t="s">
        <v>2896</v>
      </c>
      <c r="D133" t="s">
        <v>2502</v>
      </c>
    </row>
    <row r="134" spans="1:4">
      <c r="A134" t="s">
        <v>2897</v>
      </c>
      <c r="B134" t="s">
        <v>2898</v>
      </c>
      <c r="C134" t="s">
        <v>2899</v>
      </c>
      <c r="D134" t="s">
        <v>2502</v>
      </c>
    </row>
    <row r="135" spans="1:4">
      <c r="A135" t="s">
        <v>2900</v>
      </c>
      <c r="B135" t="s">
        <v>2901</v>
      </c>
      <c r="C135" t="s">
        <v>2902</v>
      </c>
      <c r="D135" t="s">
        <v>2502</v>
      </c>
    </row>
    <row r="136" spans="1:4">
      <c r="A136" t="s">
        <v>2903</v>
      </c>
      <c r="B136" t="s">
        <v>2904</v>
      </c>
      <c r="C136" t="s">
        <v>2905</v>
      </c>
      <c r="D136" t="s">
        <v>2539</v>
      </c>
    </row>
    <row r="137" spans="1:4">
      <c r="A137" t="s">
        <v>2906</v>
      </c>
      <c r="B137" t="s">
        <v>2907</v>
      </c>
      <c r="C137" t="s">
        <v>2908</v>
      </c>
      <c r="D137" t="s">
        <v>2502</v>
      </c>
    </row>
    <row r="138" spans="1:4">
      <c r="A138" t="s">
        <v>2903</v>
      </c>
      <c r="B138" t="s">
        <v>2909</v>
      </c>
      <c r="D138" t="s">
        <v>2539</v>
      </c>
    </row>
    <row r="139" spans="1:4">
      <c r="A139" t="s">
        <v>2910</v>
      </c>
      <c r="B139" t="s">
        <v>2911</v>
      </c>
      <c r="C139" t="s">
        <v>2912</v>
      </c>
      <c r="D139" t="s">
        <v>2539</v>
      </c>
    </row>
    <row r="140" spans="1:4">
      <c r="A140" t="s">
        <v>2913</v>
      </c>
      <c r="B140" t="s">
        <v>2914</v>
      </c>
      <c r="C140" t="s">
        <v>2915</v>
      </c>
      <c r="D140" t="s">
        <v>2502</v>
      </c>
    </row>
    <row r="141" spans="1:4">
      <c r="A141" t="s">
        <v>2916</v>
      </c>
      <c r="B141" t="s">
        <v>2917</v>
      </c>
      <c r="C141" t="s">
        <v>2918</v>
      </c>
      <c r="D141" t="s">
        <v>2539</v>
      </c>
    </row>
    <row r="142" spans="1:4">
      <c r="A142" t="s">
        <v>2919</v>
      </c>
      <c r="B142" t="s">
        <v>2920</v>
      </c>
      <c r="C142" t="s">
        <v>2921</v>
      </c>
      <c r="D142" t="s">
        <v>2539</v>
      </c>
    </row>
    <row r="143" spans="1:4">
      <c r="A143" t="s">
        <v>2922</v>
      </c>
      <c r="B143" t="s">
        <v>2923</v>
      </c>
      <c r="C143" t="s">
        <v>2924</v>
      </c>
      <c r="D143" t="s">
        <v>2502</v>
      </c>
    </row>
    <row r="144" spans="1:4">
      <c r="A144" t="s">
        <v>2925</v>
      </c>
      <c r="B144" t="s">
        <v>2926</v>
      </c>
      <c r="C144" t="s">
        <v>2927</v>
      </c>
      <c r="D144" t="s">
        <v>2539</v>
      </c>
    </row>
    <row r="145" spans="1:4">
      <c r="A145" t="s">
        <v>2928</v>
      </c>
      <c r="B145" t="s">
        <v>2929</v>
      </c>
      <c r="C145" t="s">
        <v>2930</v>
      </c>
      <c r="D145" t="s">
        <v>2502</v>
      </c>
    </row>
    <row r="146" spans="1:4">
      <c r="A146" t="s">
        <v>2931</v>
      </c>
      <c r="B146" t="s">
        <v>2932</v>
      </c>
      <c r="C146" t="s">
        <v>2933</v>
      </c>
      <c r="D146" t="s">
        <v>2502</v>
      </c>
    </row>
    <row r="147" spans="1:4">
      <c r="A147" t="s">
        <v>2934</v>
      </c>
      <c r="B147" t="s">
        <v>2935</v>
      </c>
      <c r="C147" t="s">
        <v>2936</v>
      </c>
      <c r="D147" t="s">
        <v>2502</v>
      </c>
    </row>
    <row r="148" spans="1:4">
      <c r="A148" t="s">
        <v>2937</v>
      </c>
      <c r="B148" t="s">
        <v>2938</v>
      </c>
      <c r="C148" t="s">
        <v>2939</v>
      </c>
      <c r="D148" t="s">
        <v>2502</v>
      </c>
    </row>
    <row r="149" spans="1:4">
      <c r="A149" t="s">
        <v>2940</v>
      </c>
      <c r="B149" t="s">
        <v>2941</v>
      </c>
      <c r="C149" t="s">
        <v>2942</v>
      </c>
      <c r="D149" t="s">
        <v>2539</v>
      </c>
    </row>
    <row r="150" spans="1:4">
      <c r="A150" t="s">
        <v>2943</v>
      </c>
      <c r="B150" t="s">
        <v>2944</v>
      </c>
      <c r="C150" t="s">
        <v>2945</v>
      </c>
      <c r="D150" t="s">
        <v>2539</v>
      </c>
    </row>
    <row r="151" spans="1:4">
      <c r="A151" t="s">
        <v>2946</v>
      </c>
      <c r="B151" t="s">
        <v>2947</v>
      </c>
      <c r="C151" t="s">
        <v>2948</v>
      </c>
      <c r="D151" t="s">
        <v>2502</v>
      </c>
    </row>
    <row r="152" spans="1:4">
      <c r="A152" t="s">
        <v>2949</v>
      </c>
      <c r="B152" t="s">
        <v>2950</v>
      </c>
      <c r="C152" t="s">
        <v>2951</v>
      </c>
      <c r="D152" t="s">
        <v>2539</v>
      </c>
    </row>
    <row r="153" spans="1:4">
      <c r="A153" t="s">
        <v>2952</v>
      </c>
      <c r="B153" t="s">
        <v>2953</v>
      </c>
      <c r="C153" t="s">
        <v>2954</v>
      </c>
      <c r="D153" t="s">
        <v>2539</v>
      </c>
    </row>
    <row r="154" spans="1:4">
      <c r="A154" t="s">
        <v>2955</v>
      </c>
      <c r="B154" t="s">
        <v>2956</v>
      </c>
      <c r="C154" t="s">
        <v>2957</v>
      </c>
      <c r="D154" t="s">
        <v>2539</v>
      </c>
    </row>
    <row r="155" spans="1:4">
      <c r="A155" t="s">
        <v>2958</v>
      </c>
      <c r="B155" t="s">
        <v>2959</v>
      </c>
      <c r="C155" t="s">
        <v>2960</v>
      </c>
      <c r="D155" t="s">
        <v>2539</v>
      </c>
    </row>
    <row r="156" spans="1:4">
      <c r="A156" t="s">
        <v>2961</v>
      </c>
      <c r="B156" t="s">
        <v>2962</v>
      </c>
      <c r="C156" t="s">
        <v>2963</v>
      </c>
      <c r="D156" t="s">
        <v>2502</v>
      </c>
    </row>
    <row r="157" spans="1:4">
      <c r="A157" t="s">
        <v>2964</v>
      </c>
      <c r="B157" t="s">
        <v>2965</v>
      </c>
      <c r="C157" t="s">
        <v>2966</v>
      </c>
      <c r="D157" t="s">
        <v>2539</v>
      </c>
    </row>
    <row r="158" spans="1:4">
      <c r="A158" t="s">
        <v>2967</v>
      </c>
      <c r="B158" t="s">
        <v>2968</v>
      </c>
      <c r="C158" t="s">
        <v>2969</v>
      </c>
      <c r="D158" t="s">
        <v>2502</v>
      </c>
    </row>
    <row r="159" spans="1:4">
      <c r="A159" t="s">
        <v>2970</v>
      </c>
      <c r="B159" t="s">
        <v>2971</v>
      </c>
      <c r="C159" t="s">
        <v>2972</v>
      </c>
      <c r="D159" t="s">
        <v>2502</v>
      </c>
    </row>
    <row r="160" spans="1:4">
      <c r="A160" t="s">
        <v>2973</v>
      </c>
      <c r="B160" t="s">
        <v>2974</v>
      </c>
      <c r="D160" t="s">
        <v>2502</v>
      </c>
    </row>
    <row r="161" spans="1:4">
      <c r="A161" t="s">
        <v>2975</v>
      </c>
      <c r="B161" t="s">
        <v>2976</v>
      </c>
      <c r="C161" t="s">
        <v>2977</v>
      </c>
      <c r="D161" t="s">
        <v>2502</v>
      </c>
    </row>
    <row r="162" spans="1:4">
      <c r="A162" t="s">
        <v>2978</v>
      </c>
      <c r="B162" t="s">
        <v>2979</v>
      </c>
      <c r="C162" t="s">
        <v>2980</v>
      </c>
      <c r="D162" t="s">
        <v>2502</v>
      </c>
    </row>
    <row r="163" spans="1:4">
      <c r="A163" t="s">
        <v>2981</v>
      </c>
      <c r="B163" t="s">
        <v>2982</v>
      </c>
      <c r="C163" t="s">
        <v>2983</v>
      </c>
      <c r="D163" t="s">
        <v>2539</v>
      </c>
    </row>
    <row r="164" spans="1:4">
      <c r="A164" t="s">
        <v>2984</v>
      </c>
      <c r="B164" t="s">
        <v>2985</v>
      </c>
      <c r="C164" t="s">
        <v>2986</v>
      </c>
      <c r="D164" t="s">
        <v>2539</v>
      </c>
    </row>
    <row r="165" spans="1:4">
      <c r="A165" t="s">
        <v>2987</v>
      </c>
      <c r="B165" t="s">
        <v>2988</v>
      </c>
      <c r="C165" t="s">
        <v>2989</v>
      </c>
      <c r="D165" t="s">
        <v>2502</v>
      </c>
    </row>
    <row r="166" spans="1:4">
      <c r="A166" t="s">
        <v>2990</v>
      </c>
      <c r="B166" t="s">
        <v>2991</v>
      </c>
      <c r="C166" t="s">
        <v>2992</v>
      </c>
      <c r="D166" t="s">
        <v>2502</v>
      </c>
    </row>
    <row r="167" spans="1:4">
      <c r="A167" t="s">
        <v>685</v>
      </c>
      <c r="B167" t="s">
        <v>2993</v>
      </c>
      <c r="C167" t="s">
        <v>2994</v>
      </c>
      <c r="D167" t="s">
        <v>2502</v>
      </c>
    </row>
    <row r="168" spans="1:4">
      <c r="A168" t="s">
        <v>2995</v>
      </c>
      <c r="B168" t="s">
        <v>2996</v>
      </c>
      <c r="C168" t="s">
        <v>2997</v>
      </c>
      <c r="D168" t="s">
        <v>2502</v>
      </c>
    </row>
    <row r="169" spans="1:4">
      <c r="A169" t="s">
        <v>2998</v>
      </c>
      <c r="B169" t="s">
        <v>2999</v>
      </c>
      <c r="C169" t="s">
        <v>3000</v>
      </c>
      <c r="D169" t="s">
        <v>2502</v>
      </c>
    </row>
    <row r="170" spans="1:4">
      <c r="A170" t="s">
        <v>3001</v>
      </c>
      <c r="B170" t="s">
        <v>3002</v>
      </c>
      <c r="C170" t="s">
        <v>3003</v>
      </c>
      <c r="D170" t="s">
        <v>2502</v>
      </c>
    </row>
    <row r="171" spans="1:4">
      <c r="A171" t="s">
        <v>3004</v>
      </c>
      <c r="B171" t="s">
        <v>3005</v>
      </c>
      <c r="C171" t="s">
        <v>3006</v>
      </c>
      <c r="D171" t="s">
        <v>2502</v>
      </c>
    </row>
    <row r="172" spans="1:4">
      <c r="A172" t="s">
        <v>3007</v>
      </c>
      <c r="B172" t="s">
        <v>3008</v>
      </c>
      <c r="C172" t="s">
        <v>3009</v>
      </c>
      <c r="D172" t="s">
        <v>2539</v>
      </c>
    </row>
    <row r="173" spans="1:4">
      <c r="A173" t="s">
        <v>3010</v>
      </c>
      <c r="B173" t="s">
        <v>3011</v>
      </c>
      <c r="C173" t="s">
        <v>3012</v>
      </c>
      <c r="D173" t="s">
        <v>2502</v>
      </c>
    </row>
    <row r="174" spans="1:4">
      <c r="A174" t="s">
        <v>3013</v>
      </c>
      <c r="B174" t="s">
        <v>3014</v>
      </c>
      <c r="C174" t="s">
        <v>3015</v>
      </c>
      <c r="D174" t="s">
        <v>2502</v>
      </c>
    </row>
    <row r="175" spans="1:4">
      <c r="A175" t="s">
        <v>3016</v>
      </c>
      <c r="B175" t="s">
        <v>3017</v>
      </c>
      <c r="C175" t="s">
        <v>3018</v>
      </c>
      <c r="D175" t="s">
        <v>2539</v>
      </c>
    </row>
    <row r="176" spans="1:4">
      <c r="A176" t="s">
        <v>3019</v>
      </c>
      <c r="B176" t="s">
        <v>3020</v>
      </c>
      <c r="C176" t="s">
        <v>3021</v>
      </c>
      <c r="D176" t="s">
        <v>2539</v>
      </c>
    </row>
    <row r="177" spans="1:4">
      <c r="A177" t="s">
        <v>3022</v>
      </c>
      <c r="B177" t="s">
        <v>3023</v>
      </c>
      <c r="C177" t="s">
        <v>3024</v>
      </c>
      <c r="D177" t="s">
        <v>2502</v>
      </c>
    </row>
    <row r="178" spans="1:4">
      <c r="A178" t="s">
        <v>3025</v>
      </c>
      <c r="B178" t="s">
        <v>3026</v>
      </c>
      <c r="C178" t="s">
        <v>3027</v>
      </c>
      <c r="D178" t="s">
        <v>2502</v>
      </c>
    </row>
    <row r="179" spans="1:4">
      <c r="A179" t="s">
        <v>3028</v>
      </c>
      <c r="B179" t="s">
        <v>3029</v>
      </c>
      <c r="C179" t="s">
        <v>3030</v>
      </c>
      <c r="D179" t="s">
        <v>2502</v>
      </c>
    </row>
    <row r="180" spans="1:4">
      <c r="A180" t="s">
        <v>3031</v>
      </c>
      <c r="B180" t="s">
        <v>3032</v>
      </c>
      <c r="C180" t="s">
        <v>3033</v>
      </c>
      <c r="D180" t="s">
        <v>2539</v>
      </c>
    </row>
    <row r="181" spans="1:4">
      <c r="A181" t="s">
        <v>3034</v>
      </c>
      <c r="B181" t="s">
        <v>3035</v>
      </c>
      <c r="C181" t="s">
        <v>3036</v>
      </c>
      <c r="D181" t="s">
        <v>2502</v>
      </c>
    </row>
    <row r="182" spans="1:4">
      <c r="A182" t="s">
        <v>3037</v>
      </c>
      <c r="B182" t="s">
        <v>3038</v>
      </c>
      <c r="C182" t="s">
        <v>3039</v>
      </c>
      <c r="D182" t="s">
        <v>2539</v>
      </c>
    </row>
    <row r="183" spans="1:4">
      <c r="A183" t="s">
        <v>3040</v>
      </c>
      <c r="B183" t="s">
        <v>3041</v>
      </c>
      <c r="D183" t="s">
        <v>3042</v>
      </c>
    </row>
    <row r="184" spans="1:4">
      <c r="A184" t="s">
        <v>3043</v>
      </c>
      <c r="B184" t="s">
        <v>3044</v>
      </c>
      <c r="C184" t="s">
        <v>3045</v>
      </c>
      <c r="D184" t="s">
        <v>2502</v>
      </c>
    </row>
    <row r="185" spans="1:4">
      <c r="A185" t="s">
        <v>3046</v>
      </c>
      <c r="B185" t="s">
        <v>3047</v>
      </c>
      <c r="C185" t="s">
        <v>3048</v>
      </c>
      <c r="D185" t="s">
        <v>2502</v>
      </c>
    </row>
    <row r="186" spans="1:4">
      <c r="A186" t="s">
        <v>3049</v>
      </c>
      <c r="B186" t="s">
        <v>3050</v>
      </c>
      <c r="C186" t="s">
        <v>3051</v>
      </c>
      <c r="D186" t="s">
        <v>2539</v>
      </c>
    </row>
    <row r="187" spans="1:4">
      <c r="A187" t="s">
        <v>3052</v>
      </c>
      <c r="B187" t="s">
        <v>3053</v>
      </c>
      <c r="C187" t="s">
        <v>3054</v>
      </c>
      <c r="D187" t="s">
        <v>2502</v>
      </c>
    </row>
    <row r="188" spans="1:4">
      <c r="A188" t="s">
        <v>3055</v>
      </c>
      <c r="B188" t="s">
        <v>3056</v>
      </c>
      <c r="C188" t="s">
        <v>3057</v>
      </c>
      <c r="D188" t="s">
        <v>2502</v>
      </c>
    </row>
    <row r="189" spans="1:4">
      <c r="A189" t="s">
        <v>3058</v>
      </c>
      <c r="B189" t="s">
        <v>3059</v>
      </c>
      <c r="C189" t="s">
        <v>3060</v>
      </c>
      <c r="D189" t="s">
        <v>2502</v>
      </c>
    </row>
    <row r="190" spans="1:4">
      <c r="A190" t="s">
        <v>3061</v>
      </c>
      <c r="B190" t="s">
        <v>3062</v>
      </c>
      <c r="C190" t="s">
        <v>3063</v>
      </c>
      <c r="D190" t="s">
        <v>2502</v>
      </c>
    </row>
    <row r="191" spans="1:4">
      <c r="A191" t="s">
        <v>3064</v>
      </c>
      <c r="B191" t="s">
        <v>3065</v>
      </c>
      <c r="C191" t="s">
        <v>3066</v>
      </c>
      <c r="D191" t="s">
        <v>2502</v>
      </c>
    </row>
    <row r="192" spans="1:4">
      <c r="A192" t="s">
        <v>3067</v>
      </c>
      <c r="B192" t="s">
        <v>3068</v>
      </c>
      <c r="C192" t="s">
        <v>3069</v>
      </c>
      <c r="D192" t="s">
        <v>2502</v>
      </c>
    </row>
    <row r="193" spans="1:4">
      <c r="A193" t="s">
        <v>3070</v>
      </c>
      <c r="B193" t="s">
        <v>3071</v>
      </c>
      <c r="C193" t="s">
        <v>3072</v>
      </c>
      <c r="D193" t="s">
        <v>2502</v>
      </c>
    </row>
    <row r="194" spans="1:4">
      <c r="A194" t="s">
        <v>3073</v>
      </c>
      <c r="B194" t="s">
        <v>3074</v>
      </c>
      <c r="C194" t="s">
        <v>3075</v>
      </c>
      <c r="D194" t="s">
        <v>2539</v>
      </c>
    </row>
    <row r="195" spans="1:4">
      <c r="A195" t="s">
        <v>3076</v>
      </c>
      <c r="B195" t="s">
        <v>3077</v>
      </c>
      <c r="C195" t="s">
        <v>3078</v>
      </c>
      <c r="D195" t="s">
        <v>2502</v>
      </c>
    </row>
    <row r="196" spans="1:4">
      <c r="A196" t="s">
        <v>3076</v>
      </c>
      <c r="B196" t="s">
        <v>3079</v>
      </c>
      <c r="C196" t="s">
        <v>3080</v>
      </c>
      <c r="D196" t="s">
        <v>2502</v>
      </c>
    </row>
    <row r="197" spans="1:4">
      <c r="A197" t="s">
        <v>3081</v>
      </c>
      <c r="B197" t="s">
        <v>3082</v>
      </c>
      <c r="C197" t="s">
        <v>3083</v>
      </c>
      <c r="D197" t="s">
        <v>2502</v>
      </c>
    </row>
    <row r="198" spans="1:4">
      <c r="A198" t="s">
        <v>3084</v>
      </c>
      <c r="B198" t="s">
        <v>3085</v>
      </c>
      <c r="C198" t="s">
        <v>3086</v>
      </c>
      <c r="D198" t="s">
        <v>2539</v>
      </c>
    </row>
    <row r="199" spans="1:4">
      <c r="A199" t="s">
        <v>3087</v>
      </c>
      <c r="B199" t="s">
        <v>3088</v>
      </c>
      <c r="C199" t="s">
        <v>3089</v>
      </c>
      <c r="D199" t="s">
        <v>2502</v>
      </c>
    </row>
    <row r="200" spans="1:4">
      <c r="A200" t="s">
        <v>3090</v>
      </c>
      <c r="B200" t="s">
        <v>3091</v>
      </c>
      <c r="C200" t="s">
        <v>3092</v>
      </c>
      <c r="D200" t="s">
        <v>2502</v>
      </c>
    </row>
    <row r="201" spans="1:4">
      <c r="A201" t="s">
        <v>3093</v>
      </c>
      <c r="B201" t="s">
        <v>3094</v>
      </c>
      <c r="C201" t="s">
        <v>3095</v>
      </c>
      <c r="D201" t="s">
        <v>2502</v>
      </c>
    </row>
    <row r="202" spans="1:4">
      <c r="A202" t="s">
        <v>3096</v>
      </c>
      <c r="B202" t="s">
        <v>3097</v>
      </c>
      <c r="C202" t="s">
        <v>3098</v>
      </c>
      <c r="D202" t="s">
        <v>2539</v>
      </c>
    </row>
    <row r="203" spans="1:4">
      <c r="A203" t="s">
        <v>3099</v>
      </c>
      <c r="B203" t="s">
        <v>3100</v>
      </c>
      <c r="C203" t="s">
        <v>3101</v>
      </c>
      <c r="D203" t="s">
        <v>2502</v>
      </c>
    </row>
    <row r="204" spans="1:4">
      <c r="A204" t="s">
        <v>3102</v>
      </c>
      <c r="B204" t="s">
        <v>3103</v>
      </c>
      <c r="C204" t="s">
        <v>3104</v>
      </c>
      <c r="D204" t="s">
        <v>2539</v>
      </c>
    </row>
    <row r="205" spans="1:4">
      <c r="A205" t="s">
        <v>3105</v>
      </c>
      <c r="B205" t="s">
        <v>3106</v>
      </c>
      <c r="C205" t="s">
        <v>3107</v>
      </c>
      <c r="D205" t="s">
        <v>2502</v>
      </c>
    </row>
    <row r="206" spans="1:4">
      <c r="A206" t="s">
        <v>3108</v>
      </c>
      <c r="B206" t="s">
        <v>3109</v>
      </c>
      <c r="C206" t="s">
        <v>3110</v>
      </c>
      <c r="D206" t="s">
        <v>2502</v>
      </c>
    </row>
    <row r="207" spans="1:4">
      <c r="A207" t="s">
        <v>3111</v>
      </c>
      <c r="B207" t="s">
        <v>3112</v>
      </c>
      <c r="C207" t="s">
        <v>3113</v>
      </c>
      <c r="D207" t="s">
        <v>2502</v>
      </c>
    </row>
    <row r="208" spans="1:4">
      <c r="A208" t="s">
        <v>3114</v>
      </c>
      <c r="B208" t="s">
        <v>3115</v>
      </c>
      <c r="C208" t="s">
        <v>3116</v>
      </c>
      <c r="D208" t="s">
        <v>2502</v>
      </c>
    </row>
    <row r="209" spans="1:4">
      <c r="A209" t="s">
        <v>3117</v>
      </c>
      <c r="B209" t="s">
        <v>3118</v>
      </c>
      <c r="C209" t="s">
        <v>3119</v>
      </c>
      <c r="D209" t="s">
        <v>2502</v>
      </c>
    </row>
    <row r="210" spans="1:4">
      <c r="A210" t="s">
        <v>3120</v>
      </c>
      <c r="B210" t="s">
        <v>3121</v>
      </c>
      <c r="C210" t="s">
        <v>3122</v>
      </c>
      <c r="D210" t="s">
        <v>2539</v>
      </c>
    </row>
    <row r="211" spans="1:4">
      <c r="A211" t="s">
        <v>3123</v>
      </c>
      <c r="B211" t="s">
        <v>3124</v>
      </c>
      <c r="C211" t="s">
        <v>3125</v>
      </c>
      <c r="D211" t="s">
        <v>2539</v>
      </c>
    </row>
    <row r="212" spans="1:4">
      <c r="A212" t="s">
        <v>3126</v>
      </c>
      <c r="B212" t="s">
        <v>3127</v>
      </c>
      <c r="C212" t="s">
        <v>3128</v>
      </c>
      <c r="D212" t="s">
        <v>2502</v>
      </c>
    </row>
    <row r="213" spans="1:4">
      <c r="A213" t="s">
        <v>3129</v>
      </c>
      <c r="B213" t="s">
        <v>3130</v>
      </c>
      <c r="C213" t="s">
        <v>3131</v>
      </c>
      <c r="D213" t="s">
        <v>2502</v>
      </c>
    </row>
    <row r="214" spans="1:4">
      <c r="A214" t="s">
        <v>3132</v>
      </c>
      <c r="B214" t="s">
        <v>3133</v>
      </c>
      <c r="C214" t="s">
        <v>3134</v>
      </c>
      <c r="D214" t="s">
        <v>2502</v>
      </c>
    </row>
    <row r="215" spans="1:4">
      <c r="A215" t="s">
        <v>3135</v>
      </c>
      <c r="B215" t="s">
        <v>3136</v>
      </c>
      <c r="C215" t="s">
        <v>3137</v>
      </c>
      <c r="D215" t="s">
        <v>3042</v>
      </c>
    </row>
    <row r="216" spans="1:4">
      <c r="A216" t="s">
        <v>3135</v>
      </c>
      <c r="B216" t="s">
        <v>3138</v>
      </c>
      <c r="C216" t="s">
        <v>3137</v>
      </c>
      <c r="D216" t="s">
        <v>2539</v>
      </c>
    </row>
    <row r="217" spans="1:4">
      <c r="A217" t="s">
        <v>3139</v>
      </c>
      <c r="B217" t="s">
        <v>3140</v>
      </c>
      <c r="C217" t="s">
        <v>3141</v>
      </c>
      <c r="D217" t="s">
        <v>2502</v>
      </c>
    </row>
    <row r="218" spans="1:4">
      <c r="A218" t="s">
        <v>3142</v>
      </c>
      <c r="B218" t="s">
        <v>3143</v>
      </c>
      <c r="C218" t="s">
        <v>3144</v>
      </c>
      <c r="D218" t="s">
        <v>2502</v>
      </c>
    </row>
    <row r="219" spans="1:4">
      <c r="A219" t="s">
        <v>3145</v>
      </c>
      <c r="B219" t="s">
        <v>3146</v>
      </c>
      <c r="C219" t="s">
        <v>3147</v>
      </c>
      <c r="D219" t="s">
        <v>2539</v>
      </c>
    </row>
    <row r="220" spans="1:4">
      <c r="A220" t="s">
        <v>3148</v>
      </c>
      <c r="B220" t="s">
        <v>3149</v>
      </c>
      <c r="C220" t="s">
        <v>3150</v>
      </c>
      <c r="D220" t="s">
        <v>2502</v>
      </c>
    </row>
    <row r="221" spans="1:4">
      <c r="A221" t="s">
        <v>3151</v>
      </c>
      <c r="B221" t="s">
        <v>3152</v>
      </c>
      <c r="C221" t="s">
        <v>3153</v>
      </c>
      <c r="D221" t="s">
        <v>2502</v>
      </c>
    </row>
    <row r="222" spans="1:4">
      <c r="A222" t="s">
        <v>3151</v>
      </c>
      <c r="B222" t="s">
        <v>3154</v>
      </c>
      <c r="C222" t="s">
        <v>3155</v>
      </c>
      <c r="D222" t="s">
        <v>2539</v>
      </c>
    </row>
    <row r="223" spans="1:4">
      <c r="A223" t="s">
        <v>3156</v>
      </c>
      <c r="B223" t="s">
        <v>3157</v>
      </c>
      <c r="C223" t="s">
        <v>3158</v>
      </c>
      <c r="D223" t="s">
        <v>2502</v>
      </c>
    </row>
    <row r="224" spans="1:4">
      <c r="A224" t="s">
        <v>3159</v>
      </c>
      <c r="B224" t="s">
        <v>3160</v>
      </c>
      <c r="C224" t="s">
        <v>3161</v>
      </c>
      <c r="D224" t="s">
        <v>2502</v>
      </c>
    </row>
    <row r="225" spans="1:4">
      <c r="A225" t="s">
        <v>3162</v>
      </c>
      <c r="B225" t="s">
        <v>3163</v>
      </c>
      <c r="C225" t="s">
        <v>3164</v>
      </c>
      <c r="D225" t="s">
        <v>2502</v>
      </c>
    </row>
    <row r="226" spans="1:4">
      <c r="A226" t="s">
        <v>3165</v>
      </c>
      <c r="B226" t="s">
        <v>3166</v>
      </c>
      <c r="C226" t="s">
        <v>3167</v>
      </c>
      <c r="D226" t="s">
        <v>2502</v>
      </c>
    </row>
    <row r="227" spans="1:4">
      <c r="A227" t="s">
        <v>3168</v>
      </c>
      <c r="B227" t="s">
        <v>3169</v>
      </c>
      <c r="C227" t="s">
        <v>3170</v>
      </c>
      <c r="D227" t="s">
        <v>2502</v>
      </c>
    </row>
    <row r="228" spans="1:4">
      <c r="A228" t="s">
        <v>3171</v>
      </c>
      <c r="B228" t="s">
        <v>3172</v>
      </c>
      <c r="C228" t="s">
        <v>3173</v>
      </c>
      <c r="D228" t="s">
        <v>2502</v>
      </c>
    </row>
    <row r="229" spans="1:4">
      <c r="A229" t="s">
        <v>3174</v>
      </c>
      <c r="B229" t="s">
        <v>3175</v>
      </c>
      <c r="C229" t="s">
        <v>3176</v>
      </c>
      <c r="D229" t="s">
        <v>2502</v>
      </c>
    </row>
    <row r="230" spans="1:4">
      <c r="A230" t="s">
        <v>3177</v>
      </c>
      <c r="B230" t="s">
        <v>3178</v>
      </c>
      <c r="C230" t="s">
        <v>3179</v>
      </c>
      <c r="D230" t="s">
        <v>2502</v>
      </c>
    </row>
    <row r="231" spans="1:4">
      <c r="A231" t="s">
        <v>3180</v>
      </c>
      <c r="B231" t="s">
        <v>3181</v>
      </c>
      <c r="C231" t="s">
        <v>3182</v>
      </c>
      <c r="D231" t="s">
        <v>2502</v>
      </c>
    </row>
    <row r="232" spans="1:4">
      <c r="A232" t="s">
        <v>862</v>
      </c>
      <c r="B232" t="s">
        <v>3183</v>
      </c>
      <c r="C232" t="s">
        <v>3184</v>
      </c>
      <c r="D232" t="s">
        <v>2502</v>
      </c>
    </row>
    <row r="233" spans="1:4">
      <c r="A233" t="s">
        <v>3185</v>
      </c>
      <c r="B233" t="s">
        <v>3186</v>
      </c>
      <c r="C233" t="s">
        <v>3187</v>
      </c>
      <c r="D233" t="s">
        <v>2539</v>
      </c>
    </row>
    <row r="234" spans="1:4">
      <c r="A234" t="s">
        <v>3188</v>
      </c>
      <c r="B234" t="s">
        <v>3189</v>
      </c>
      <c r="C234" t="s">
        <v>3190</v>
      </c>
      <c r="D234" t="s">
        <v>2502</v>
      </c>
    </row>
    <row r="235" spans="1:4">
      <c r="A235" t="s">
        <v>3191</v>
      </c>
      <c r="B235" t="s">
        <v>3192</v>
      </c>
      <c r="C235" t="s">
        <v>3193</v>
      </c>
      <c r="D235" t="s">
        <v>2502</v>
      </c>
    </row>
    <row r="236" spans="1:4">
      <c r="A236" t="s">
        <v>3194</v>
      </c>
      <c r="B236" t="s">
        <v>3195</v>
      </c>
      <c r="C236" t="s">
        <v>2728</v>
      </c>
      <c r="D236" t="s">
        <v>2539</v>
      </c>
    </row>
    <row r="237" spans="1:4">
      <c r="A237" t="s">
        <v>3196</v>
      </c>
      <c r="B237" t="s">
        <v>3197</v>
      </c>
      <c r="C237" t="s">
        <v>3198</v>
      </c>
      <c r="D237" t="s">
        <v>2539</v>
      </c>
    </row>
    <row r="238" spans="1:4">
      <c r="A238" t="s">
        <v>3199</v>
      </c>
      <c r="B238" t="s">
        <v>3200</v>
      </c>
      <c r="C238" t="s">
        <v>3201</v>
      </c>
      <c r="D238" t="s">
        <v>2502</v>
      </c>
    </row>
    <row r="239" spans="1:4">
      <c r="A239" t="s">
        <v>3202</v>
      </c>
      <c r="B239" t="s">
        <v>3203</v>
      </c>
      <c r="C239" t="s">
        <v>3204</v>
      </c>
      <c r="D239" t="s">
        <v>2539</v>
      </c>
    </row>
    <row r="240" spans="1:4">
      <c r="A240" t="s">
        <v>3205</v>
      </c>
      <c r="B240" t="s">
        <v>3206</v>
      </c>
      <c r="C240" t="s">
        <v>3207</v>
      </c>
      <c r="D240" t="s">
        <v>2502</v>
      </c>
    </row>
    <row r="241" spans="1:4">
      <c r="A241" t="s">
        <v>3208</v>
      </c>
      <c r="B241" t="s">
        <v>3209</v>
      </c>
      <c r="C241" t="s">
        <v>3210</v>
      </c>
      <c r="D241" t="s">
        <v>2539</v>
      </c>
    </row>
    <row r="242" spans="1:4">
      <c r="A242" t="s">
        <v>3211</v>
      </c>
      <c r="B242" t="s">
        <v>3212</v>
      </c>
      <c r="C242" t="s">
        <v>3213</v>
      </c>
      <c r="D242" t="s">
        <v>2502</v>
      </c>
    </row>
    <row r="243" spans="1:4">
      <c r="A243" t="s">
        <v>3214</v>
      </c>
      <c r="B243" t="s">
        <v>3215</v>
      </c>
      <c r="C243" t="s">
        <v>3216</v>
      </c>
      <c r="D243" t="s">
        <v>2502</v>
      </c>
    </row>
    <row r="244" spans="1:4">
      <c r="A244" t="s">
        <v>3217</v>
      </c>
      <c r="B244" t="s">
        <v>3218</v>
      </c>
      <c r="C244" t="s">
        <v>3219</v>
      </c>
      <c r="D244" t="s">
        <v>2502</v>
      </c>
    </row>
    <row r="245" spans="1:4">
      <c r="A245" t="s">
        <v>3220</v>
      </c>
      <c r="B245" t="s">
        <v>3221</v>
      </c>
      <c r="C245" t="s">
        <v>3222</v>
      </c>
      <c r="D245" t="s">
        <v>2502</v>
      </c>
    </row>
    <row r="246" spans="1:4">
      <c r="A246" t="s">
        <v>3223</v>
      </c>
      <c r="B246" t="s">
        <v>3224</v>
      </c>
      <c r="C246" t="s">
        <v>3225</v>
      </c>
      <c r="D246" t="s">
        <v>2502</v>
      </c>
    </row>
    <row r="247" spans="1:4">
      <c r="A247" t="s">
        <v>3226</v>
      </c>
      <c r="B247" t="s">
        <v>3227</v>
      </c>
      <c r="C247" t="s">
        <v>3228</v>
      </c>
      <c r="D247" t="s">
        <v>2502</v>
      </c>
    </row>
    <row r="248" spans="1:4">
      <c r="A248" t="s">
        <v>3229</v>
      </c>
      <c r="B248" t="s">
        <v>3230</v>
      </c>
      <c r="C248" t="s">
        <v>3231</v>
      </c>
      <c r="D248" t="s">
        <v>2502</v>
      </c>
    </row>
    <row r="249" spans="1:4">
      <c r="A249" t="s">
        <v>3232</v>
      </c>
      <c r="B249" t="s">
        <v>3233</v>
      </c>
      <c r="C249" t="s">
        <v>3234</v>
      </c>
      <c r="D249" t="s">
        <v>2502</v>
      </c>
    </row>
    <row r="250" spans="1:4">
      <c r="A250" t="s">
        <v>3235</v>
      </c>
      <c r="B250" t="s">
        <v>3236</v>
      </c>
      <c r="C250" t="s">
        <v>3237</v>
      </c>
      <c r="D250" t="s">
        <v>2539</v>
      </c>
    </row>
    <row r="251" spans="1:4">
      <c r="A251" t="s">
        <v>3238</v>
      </c>
      <c r="B251" t="s">
        <v>3239</v>
      </c>
      <c r="C251" t="s">
        <v>3240</v>
      </c>
      <c r="D251" t="s">
        <v>2502</v>
      </c>
    </row>
    <row r="252" spans="1:4">
      <c r="A252" t="s">
        <v>3241</v>
      </c>
      <c r="B252" t="s">
        <v>3242</v>
      </c>
      <c r="C252" t="s">
        <v>3243</v>
      </c>
      <c r="D252" t="s">
        <v>2502</v>
      </c>
    </row>
    <row r="253" spans="1:4">
      <c r="A253" t="s">
        <v>3244</v>
      </c>
      <c r="B253" t="s">
        <v>3245</v>
      </c>
      <c r="C253" t="s">
        <v>3246</v>
      </c>
      <c r="D253" t="s">
        <v>2502</v>
      </c>
    </row>
    <row r="254" spans="1:4">
      <c r="A254" t="s">
        <v>3247</v>
      </c>
      <c r="B254" t="s">
        <v>3248</v>
      </c>
      <c r="C254" t="s">
        <v>3249</v>
      </c>
      <c r="D254" t="s">
        <v>2502</v>
      </c>
    </row>
    <row r="255" spans="1:4">
      <c r="A255" t="s">
        <v>3250</v>
      </c>
      <c r="B255" t="s">
        <v>3251</v>
      </c>
      <c r="C255" t="s">
        <v>3252</v>
      </c>
      <c r="D255" t="s">
        <v>2502</v>
      </c>
    </row>
    <row r="256" spans="1:4">
      <c r="A256" t="s">
        <v>3253</v>
      </c>
      <c r="B256" t="s">
        <v>3254</v>
      </c>
      <c r="C256" t="s">
        <v>3255</v>
      </c>
      <c r="D256" t="s">
        <v>2502</v>
      </c>
    </row>
    <row r="257" spans="1:4">
      <c r="A257" t="s">
        <v>3256</v>
      </c>
      <c r="B257" t="s">
        <v>3257</v>
      </c>
      <c r="C257" t="s">
        <v>3258</v>
      </c>
      <c r="D257" t="s">
        <v>2502</v>
      </c>
    </row>
    <row r="258" spans="1:4">
      <c r="A258" t="s">
        <v>3259</v>
      </c>
      <c r="B258" t="s">
        <v>3260</v>
      </c>
      <c r="C258" t="s">
        <v>3207</v>
      </c>
      <c r="D258" t="s">
        <v>2502</v>
      </c>
    </row>
    <row r="259" spans="1:4">
      <c r="A259" t="s">
        <v>3261</v>
      </c>
      <c r="B259" t="s">
        <v>3262</v>
      </c>
      <c r="D259" t="s">
        <v>2502</v>
      </c>
    </row>
    <row r="260" spans="1:4">
      <c r="A260" t="s">
        <v>3263</v>
      </c>
      <c r="B260" t="s">
        <v>3264</v>
      </c>
      <c r="C260" t="s">
        <v>3265</v>
      </c>
      <c r="D260" t="s">
        <v>2539</v>
      </c>
    </row>
    <row r="261" spans="1:4">
      <c r="A261" t="s">
        <v>3266</v>
      </c>
      <c r="B261" t="s">
        <v>3267</v>
      </c>
      <c r="C261" t="s">
        <v>3268</v>
      </c>
      <c r="D261" t="s">
        <v>2539</v>
      </c>
    </row>
    <row r="262" spans="1:4">
      <c r="A262" t="s">
        <v>3269</v>
      </c>
      <c r="B262" t="s">
        <v>3270</v>
      </c>
      <c r="C262" t="s">
        <v>3271</v>
      </c>
      <c r="D262" t="s">
        <v>2502</v>
      </c>
    </row>
    <row r="263" spans="1:4">
      <c r="A263" t="s">
        <v>3269</v>
      </c>
      <c r="B263" t="s">
        <v>3272</v>
      </c>
      <c r="C263" t="s">
        <v>3273</v>
      </c>
      <c r="D263" t="s">
        <v>2539</v>
      </c>
    </row>
    <row r="264" spans="1:4">
      <c r="A264" t="s">
        <v>3274</v>
      </c>
      <c r="B264" t="s">
        <v>3275</v>
      </c>
      <c r="C264" t="s">
        <v>3276</v>
      </c>
      <c r="D264" t="s">
        <v>2502</v>
      </c>
    </row>
    <row r="265" spans="1:4">
      <c r="A265" t="s">
        <v>3277</v>
      </c>
      <c r="B265" t="s">
        <v>3278</v>
      </c>
      <c r="C265" t="s">
        <v>3279</v>
      </c>
      <c r="D265" t="s">
        <v>2502</v>
      </c>
    </row>
    <row r="266" spans="1:4">
      <c r="A266" t="s">
        <v>3280</v>
      </c>
      <c r="B266" t="s">
        <v>3281</v>
      </c>
      <c r="C266" t="s">
        <v>3282</v>
      </c>
      <c r="D266" t="s">
        <v>2502</v>
      </c>
    </row>
    <row r="267" spans="1:4">
      <c r="A267" t="s">
        <v>3283</v>
      </c>
      <c r="B267" t="s">
        <v>3284</v>
      </c>
      <c r="C267" t="s">
        <v>3285</v>
      </c>
      <c r="D267" t="s">
        <v>2539</v>
      </c>
    </row>
    <row r="268" spans="1:4">
      <c r="A268" t="s">
        <v>3286</v>
      </c>
      <c r="B268" t="s">
        <v>3287</v>
      </c>
      <c r="C268" t="s">
        <v>3288</v>
      </c>
      <c r="D268" t="s">
        <v>2502</v>
      </c>
    </row>
    <row r="269" spans="1:4">
      <c r="A269" t="s">
        <v>3289</v>
      </c>
      <c r="B269" t="s">
        <v>3290</v>
      </c>
      <c r="C269" t="s">
        <v>3291</v>
      </c>
      <c r="D269" t="s">
        <v>2502</v>
      </c>
    </row>
    <row r="270" spans="1:4">
      <c r="A270" t="s">
        <v>3292</v>
      </c>
      <c r="B270" t="s">
        <v>3293</v>
      </c>
      <c r="C270" t="s">
        <v>3294</v>
      </c>
      <c r="D270" t="s">
        <v>2539</v>
      </c>
    </row>
    <row r="271" spans="1:4">
      <c r="A271" t="s">
        <v>3295</v>
      </c>
      <c r="B271" t="s">
        <v>3296</v>
      </c>
      <c r="C271" t="s">
        <v>3297</v>
      </c>
      <c r="D271" t="s">
        <v>2502</v>
      </c>
    </row>
    <row r="272" spans="1:4">
      <c r="A272" t="s">
        <v>3298</v>
      </c>
      <c r="B272" t="s">
        <v>3299</v>
      </c>
      <c r="C272" t="s">
        <v>3300</v>
      </c>
      <c r="D272" t="s">
        <v>2502</v>
      </c>
    </row>
    <row r="273" spans="1:4">
      <c r="A273" t="s">
        <v>3301</v>
      </c>
      <c r="B273" t="s">
        <v>3302</v>
      </c>
      <c r="C273" t="s">
        <v>3303</v>
      </c>
      <c r="D273" t="s">
        <v>2539</v>
      </c>
    </row>
    <row r="274" spans="1:4">
      <c r="A274" t="s">
        <v>3304</v>
      </c>
      <c r="B274" t="s">
        <v>3305</v>
      </c>
      <c r="C274" t="s">
        <v>3306</v>
      </c>
      <c r="D274" t="s">
        <v>2539</v>
      </c>
    </row>
    <row r="275" spans="1:4">
      <c r="A275" t="s">
        <v>3307</v>
      </c>
      <c r="B275" t="s">
        <v>3308</v>
      </c>
      <c r="C275" t="s">
        <v>3309</v>
      </c>
      <c r="D275" t="s">
        <v>2502</v>
      </c>
    </row>
    <row r="276" spans="1:4">
      <c r="A276" t="s">
        <v>3310</v>
      </c>
      <c r="B276" t="s">
        <v>3311</v>
      </c>
      <c r="C276" t="s">
        <v>3312</v>
      </c>
      <c r="D276" t="s">
        <v>2502</v>
      </c>
    </row>
    <row r="277" spans="1:4">
      <c r="A277" t="s">
        <v>3313</v>
      </c>
      <c r="B277" t="s">
        <v>3314</v>
      </c>
      <c r="C277" t="s">
        <v>3315</v>
      </c>
      <c r="D277" t="s">
        <v>2502</v>
      </c>
    </row>
    <row r="278" spans="1:4">
      <c r="A278" t="s">
        <v>3316</v>
      </c>
      <c r="B278" t="s">
        <v>3317</v>
      </c>
      <c r="C278" t="s">
        <v>3318</v>
      </c>
      <c r="D278" t="s">
        <v>2502</v>
      </c>
    </row>
    <row r="279" spans="1:4">
      <c r="A279" t="s">
        <v>3319</v>
      </c>
      <c r="B279" t="s">
        <v>3320</v>
      </c>
      <c r="C279" t="s">
        <v>3321</v>
      </c>
      <c r="D279" t="s">
        <v>2539</v>
      </c>
    </row>
    <row r="280" spans="1:4">
      <c r="A280" t="s">
        <v>3322</v>
      </c>
      <c r="B280" t="s">
        <v>3323</v>
      </c>
      <c r="C280" t="s">
        <v>3324</v>
      </c>
      <c r="D280" t="s">
        <v>2502</v>
      </c>
    </row>
    <row r="281" spans="1:4">
      <c r="A281" t="s">
        <v>3325</v>
      </c>
      <c r="B281" t="s">
        <v>3326</v>
      </c>
      <c r="C281" t="s">
        <v>3327</v>
      </c>
      <c r="D281" t="s">
        <v>2502</v>
      </c>
    </row>
    <row r="282" spans="1:4">
      <c r="A282" t="s">
        <v>3328</v>
      </c>
      <c r="B282" t="s">
        <v>3329</v>
      </c>
      <c r="C282" t="s">
        <v>3330</v>
      </c>
      <c r="D282" t="s">
        <v>2502</v>
      </c>
    </row>
    <row r="283" spans="1:4">
      <c r="A283" t="s">
        <v>3331</v>
      </c>
      <c r="B283" t="s">
        <v>3332</v>
      </c>
      <c r="C283" t="s">
        <v>3333</v>
      </c>
      <c r="D283" t="s">
        <v>2502</v>
      </c>
    </row>
    <row r="284" spans="1:4">
      <c r="A284" t="s">
        <v>3334</v>
      </c>
      <c r="B284" t="s">
        <v>3335</v>
      </c>
      <c r="C284" t="s">
        <v>3336</v>
      </c>
      <c r="D284" t="s">
        <v>2502</v>
      </c>
    </row>
    <row r="285" spans="1:4">
      <c r="A285" t="s">
        <v>3337</v>
      </c>
      <c r="B285" t="s">
        <v>3338</v>
      </c>
      <c r="C285" t="s">
        <v>3339</v>
      </c>
      <c r="D285" t="s">
        <v>2502</v>
      </c>
    </row>
    <row r="286" spans="1:4">
      <c r="A286" t="s">
        <v>3340</v>
      </c>
      <c r="B286" t="s">
        <v>3341</v>
      </c>
      <c r="C286" t="s">
        <v>3342</v>
      </c>
      <c r="D286" t="s">
        <v>2502</v>
      </c>
    </row>
    <row r="287" spans="1:4">
      <c r="A287" t="s">
        <v>3343</v>
      </c>
      <c r="B287" t="s">
        <v>3344</v>
      </c>
      <c r="C287" t="s">
        <v>3345</v>
      </c>
      <c r="D287" t="s">
        <v>2502</v>
      </c>
    </row>
    <row r="288" spans="1:4">
      <c r="A288" t="s">
        <v>3346</v>
      </c>
      <c r="B288" t="s">
        <v>3347</v>
      </c>
      <c r="C288" t="s">
        <v>3348</v>
      </c>
      <c r="D288" t="s">
        <v>2539</v>
      </c>
    </row>
    <row r="289" spans="1:4">
      <c r="A289" t="s">
        <v>3349</v>
      </c>
      <c r="B289" t="s">
        <v>3350</v>
      </c>
      <c r="C289" t="s">
        <v>3351</v>
      </c>
      <c r="D289" t="s">
        <v>2502</v>
      </c>
    </row>
    <row r="290" spans="1:4">
      <c r="A290" t="s">
        <v>3352</v>
      </c>
      <c r="B290" t="s">
        <v>3353</v>
      </c>
      <c r="C290" t="s">
        <v>3354</v>
      </c>
      <c r="D290" t="s">
        <v>2502</v>
      </c>
    </row>
    <row r="291" spans="1:4">
      <c r="A291" t="s">
        <v>3355</v>
      </c>
      <c r="B291" t="s">
        <v>3356</v>
      </c>
      <c r="C291" t="s">
        <v>3357</v>
      </c>
      <c r="D291" t="s">
        <v>2502</v>
      </c>
    </row>
    <row r="292" spans="1:4">
      <c r="A292" t="s">
        <v>3358</v>
      </c>
      <c r="B292" t="s">
        <v>3359</v>
      </c>
      <c r="C292" t="s">
        <v>3360</v>
      </c>
      <c r="D292" t="s">
        <v>2502</v>
      </c>
    </row>
    <row r="293" spans="1:4">
      <c r="A293" t="s">
        <v>3361</v>
      </c>
      <c r="B293" t="s">
        <v>3362</v>
      </c>
      <c r="C293" t="s">
        <v>3363</v>
      </c>
      <c r="D293" t="s">
        <v>2502</v>
      </c>
    </row>
    <row r="294" spans="1:4">
      <c r="A294" t="s">
        <v>3364</v>
      </c>
      <c r="B294" t="s">
        <v>3365</v>
      </c>
      <c r="C294" t="s">
        <v>3366</v>
      </c>
      <c r="D294" t="s">
        <v>2502</v>
      </c>
    </row>
    <row r="295" spans="1:4">
      <c r="A295" t="s">
        <v>3367</v>
      </c>
      <c r="B295" t="s">
        <v>3368</v>
      </c>
      <c r="C295" t="s">
        <v>3369</v>
      </c>
      <c r="D295" t="s">
        <v>2502</v>
      </c>
    </row>
    <row r="296" spans="1:4">
      <c r="A296" t="s">
        <v>3370</v>
      </c>
      <c r="B296" t="s">
        <v>3371</v>
      </c>
      <c r="C296" t="s">
        <v>3372</v>
      </c>
      <c r="D296" t="s">
        <v>2502</v>
      </c>
    </row>
    <row r="297" spans="1:4">
      <c r="A297" t="s">
        <v>3373</v>
      </c>
      <c r="B297" t="s">
        <v>3374</v>
      </c>
      <c r="C297" t="s">
        <v>3375</v>
      </c>
      <c r="D297" t="s">
        <v>2502</v>
      </c>
    </row>
    <row r="298" spans="1:4">
      <c r="A298" t="s">
        <v>3376</v>
      </c>
      <c r="B298" t="s">
        <v>3377</v>
      </c>
      <c r="C298" t="s">
        <v>3378</v>
      </c>
      <c r="D298" t="s">
        <v>2502</v>
      </c>
    </row>
    <row r="299" spans="1:4">
      <c r="A299" t="s">
        <v>3379</v>
      </c>
      <c r="B299" t="s">
        <v>3380</v>
      </c>
      <c r="C299" t="s">
        <v>3381</v>
      </c>
      <c r="D299" t="s">
        <v>2502</v>
      </c>
    </row>
    <row r="300" spans="1:4">
      <c r="A300" t="s">
        <v>3382</v>
      </c>
      <c r="B300" t="s">
        <v>3383</v>
      </c>
      <c r="C300" t="s">
        <v>3384</v>
      </c>
      <c r="D300" t="s">
        <v>2502</v>
      </c>
    </row>
    <row r="301" spans="1:4">
      <c r="A301" t="s">
        <v>3385</v>
      </c>
      <c r="B301" t="s">
        <v>3386</v>
      </c>
      <c r="C301" t="s">
        <v>3387</v>
      </c>
      <c r="D301" t="s">
        <v>2502</v>
      </c>
    </row>
    <row r="302" spans="1:4">
      <c r="A302" t="s">
        <v>3388</v>
      </c>
      <c r="B302" t="s">
        <v>3389</v>
      </c>
      <c r="C302" t="s">
        <v>3390</v>
      </c>
      <c r="D302" t="s">
        <v>2502</v>
      </c>
    </row>
    <row r="303" spans="1:4">
      <c r="A303" t="s">
        <v>3391</v>
      </c>
      <c r="B303" t="s">
        <v>3392</v>
      </c>
      <c r="C303" t="s">
        <v>3393</v>
      </c>
      <c r="D303" t="s">
        <v>2502</v>
      </c>
    </row>
    <row r="304" spans="1:4">
      <c r="A304" t="s">
        <v>3394</v>
      </c>
      <c r="B304" t="s">
        <v>3395</v>
      </c>
      <c r="C304" t="s">
        <v>3396</v>
      </c>
      <c r="D304" t="s">
        <v>2502</v>
      </c>
    </row>
    <row r="305" spans="1:5">
      <c r="A305" t="s">
        <v>3397</v>
      </c>
      <c r="B305" t="s">
        <v>3398</v>
      </c>
      <c r="C305" t="s">
        <v>3399</v>
      </c>
      <c r="D305" s="64" t="s">
        <v>2539</v>
      </c>
      <c r="E305" s="63"/>
    </row>
    <row r="306" spans="1:5">
      <c r="A306" t="s">
        <v>3400</v>
      </c>
      <c r="B306" t="s">
        <v>3401</v>
      </c>
      <c r="C306" t="s">
        <v>3402</v>
      </c>
      <c r="D306" t="s">
        <v>2502</v>
      </c>
    </row>
    <row r="307" spans="1:5">
      <c r="A307" t="s">
        <v>3403</v>
      </c>
      <c r="B307" t="s">
        <v>3404</v>
      </c>
      <c r="C307" t="s">
        <v>3405</v>
      </c>
      <c r="D307" s="64" t="s">
        <v>2502</v>
      </c>
    </row>
    <row r="308" spans="1:5">
      <c r="A308" t="s">
        <v>3406</v>
      </c>
      <c r="B308" t="s">
        <v>3407</v>
      </c>
      <c r="C308" t="s">
        <v>3408</v>
      </c>
      <c r="D308" s="64" t="s">
        <v>2502</v>
      </c>
    </row>
    <row r="309" spans="1:5">
      <c r="A309" t="s">
        <v>3409</v>
      </c>
      <c r="B309" t="s">
        <v>3410</v>
      </c>
      <c r="C309" t="s">
        <v>3411</v>
      </c>
      <c r="D309" s="64" t="s">
        <v>2539</v>
      </c>
    </row>
    <row r="310" spans="1:5">
      <c r="A310" t="s">
        <v>3412</v>
      </c>
      <c r="B310" t="s">
        <v>3413</v>
      </c>
      <c r="C310" t="s">
        <v>3414</v>
      </c>
      <c r="D310" s="64" t="s">
        <v>2539</v>
      </c>
    </row>
    <row r="311" spans="1:5">
      <c r="A311" t="s">
        <v>3415</v>
      </c>
      <c r="B311" t="s">
        <v>3416</v>
      </c>
      <c r="C311" t="s">
        <v>3417</v>
      </c>
      <c r="D311" s="64" t="s">
        <v>2502</v>
      </c>
    </row>
    <row r="312" spans="1:5">
      <c r="A312" t="s">
        <v>3418</v>
      </c>
      <c r="B312" t="s">
        <v>3419</v>
      </c>
      <c r="C312" t="s">
        <v>3420</v>
      </c>
      <c r="D312" s="64" t="s">
        <v>2502</v>
      </c>
    </row>
    <row r="313" spans="1:5">
      <c r="A313" t="s">
        <v>3421</v>
      </c>
      <c r="B313" t="s">
        <v>3422</v>
      </c>
      <c r="C313" t="s">
        <v>3423</v>
      </c>
      <c r="D313" s="64" t="s">
        <v>2502</v>
      </c>
    </row>
    <row r="314" spans="1:5">
      <c r="A314" t="s">
        <v>3424</v>
      </c>
      <c r="B314" t="s">
        <v>3425</v>
      </c>
      <c r="C314" t="s">
        <v>3426</v>
      </c>
      <c r="D314" s="64" t="s">
        <v>2502</v>
      </c>
    </row>
    <row r="315" spans="1:5">
      <c r="A315" t="s">
        <v>3427</v>
      </c>
      <c r="B315" t="s">
        <v>3428</v>
      </c>
      <c r="C315" t="s">
        <v>3429</v>
      </c>
      <c r="D315" s="64" t="s">
        <v>2539</v>
      </c>
    </row>
    <row r="316" spans="1:5">
      <c r="A316" t="s">
        <v>3430</v>
      </c>
      <c r="B316" t="s">
        <v>3431</v>
      </c>
      <c r="C316" t="s">
        <v>3432</v>
      </c>
      <c r="D316" s="64" t="s">
        <v>2502</v>
      </c>
    </row>
    <row r="317" spans="1:5">
      <c r="A317" t="s">
        <v>3433</v>
      </c>
      <c r="B317" t="s">
        <v>3434</v>
      </c>
      <c r="C317" t="s">
        <v>3435</v>
      </c>
      <c r="D317" s="64" t="s">
        <v>2502</v>
      </c>
    </row>
    <row r="318" spans="1:5">
      <c r="A318" t="s">
        <v>3436</v>
      </c>
      <c r="B318" t="s">
        <v>3437</v>
      </c>
      <c r="C318" t="s">
        <v>3438</v>
      </c>
      <c r="D318" s="64" t="s">
        <v>2502</v>
      </c>
    </row>
    <row r="319" spans="1:5">
      <c r="A319" t="s">
        <v>3439</v>
      </c>
      <c r="B319" t="s">
        <v>3440</v>
      </c>
      <c r="C319" t="s">
        <v>3441</v>
      </c>
      <c r="D319" s="64" t="s">
        <v>2502</v>
      </c>
    </row>
    <row r="320" spans="1:5">
      <c r="A320" t="s">
        <v>3442</v>
      </c>
      <c r="B320" t="s">
        <v>3443</v>
      </c>
      <c r="C320" t="s">
        <v>3444</v>
      </c>
      <c r="D320" s="64" t="s">
        <v>2502</v>
      </c>
    </row>
    <row r="321" spans="1:4">
      <c r="A321" t="s">
        <v>3445</v>
      </c>
      <c r="B321" t="s">
        <v>3446</v>
      </c>
      <c r="C321" t="s">
        <v>3447</v>
      </c>
      <c r="D321" s="64" t="s">
        <v>2502</v>
      </c>
    </row>
    <row r="322" spans="1:4">
      <c r="A322" t="s">
        <v>3448</v>
      </c>
      <c r="B322" t="s">
        <v>3449</v>
      </c>
      <c r="C322" t="s">
        <v>3450</v>
      </c>
      <c r="D322" s="64" t="s">
        <v>2502</v>
      </c>
    </row>
    <row r="323" spans="1:4">
      <c r="A323" t="s">
        <v>3451</v>
      </c>
      <c r="B323" t="s">
        <v>3452</v>
      </c>
      <c r="C323" t="s">
        <v>3453</v>
      </c>
      <c r="D323" s="64" t="s">
        <v>2502</v>
      </c>
    </row>
    <row r="324" spans="1:4">
      <c r="A324" t="s">
        <v>3454</v>
      </c>
      <c r="B324" t="s">
        <v>3455</v>
      </c>
      <c r="C324" t="s">
        <v>3456</v>
      </c>
      <c r="D324" s="64" t="s">
        <v>2539</v>
      </c>
    </row>
    <row r="325" spans="1:4">
      <c r="A325" t="s">
        <v>3457</v>
      </c>
      <c r="B325" t="s">
        <v>3458</v>
      </c>
      <c r="C325" t="s">
        <v>3459</v>
      </c>
      <c r="D325" s="64" t="s">
        <v>2502</v>
      </c>
    </row>
    <row r="326" spans="1:4">
      <c r="A326" t="s">
        <v>3460</v>
      </c>
      <c r="B326" t="s">
        <v>3461</v>
      </c>
      <c r="C326" t="s">
        <v>3462</v>
      </c>
      <c r="D326" s="64" t="s">
        <v>2539</v>
      </c>
    </row>
    <row r="327" spans="1:4">
      <c r="A327" t="s">
        <v>3463</v>
      </c>
      <c r="B327" t="s">
        <v>3464</v>
      </c>
      <c r="C327" t="s">
        <v>3465</v>
      </c>
      <c r="D327" s="64" t="s">
        <v>2502</v>
      </c>
    </row>
    <row r="328" spans="1:4">
      <c r="A328" t="s">
        <v>3466</v>
      </c>
      <c r="B328" t="s">
        <v>3467</v>
      </c>
      <c r="C328" t="s">
        <v>3468</v>
      </c>
      <c r="D328" s="64" t="s">
        <v>2539</v>
      </c>
    </row>
    <row r="329" spans="1:4">
      <c r="A329" t="s">
        <v>3469</v>
      </c>
      <c r="B329" t="s">
        <v>3470</v>
      </c>
      <c r="C329" t="s">
        <v>3471</v>
      </c>
      <c r="D329" s="64" t="s">
        <v>3042</v>
      </c>
    </row>
    <row r="330" spans="1:4">
      <c r="A330" t="s">
        <v>3472</v>
      </c>
      <c r="B330" t="s">
        <v>3473</v>
      </c>
      <c r="C330" t="s">
        <v>3474</v>
      </c>
      <c r="D330" s="64" t="s">
        <v>2539</v>
      </c>
    </row>
    <row r="331" spans="1:4">
      <c r="A331" t="s">
        <v>3475</v>
      </c>
      <c r="B331" t="s">
        <v>3476</v>
      </c>
      <c r="C331" t="s">
        <v>3477</v>
      </c>
      <c r="D331" s="64" t="s">
        <v>2502</v>
      </c>
    </row>
    <row r="332" spans="1:4">
      <c r="A332" t="s">
        <v>3478</v>
      </c>
      <c r="B332" t="s">
        <v>3479</v>
      </c>
      <c r="C332" t="s">
        <v>3480</v>
      </c>
      <c r="D332" s="64" t="s">
        <v>2502</v>
      </c>
    </row>
    <row r="333" spans="1:4">
      <c r="A333" t="s">
        <v>3481</v>
      </c>
      <c r="B333" t="s">
        <v>3482</v>
      </c>
      <c r="C333" t="s">
        <v>3483</v>
      </c>
      <c r="D333" s="64" t="s">
        <v>2502</v>
      </c>
    </row>
    <row r="334" spans="1:4">
      <c r="A334" t="s">
        <v>3484</v>
      </c>
      <c r="B334" t="s">
        <v>3485</v>
      </c>
      <c r="C334" t="s">
        <v>3486</v>
      </c>
      <c r="D334" s="64" t="s">
        <v>2539</v>
      </c>
    </row>
    <row r="335" spans="1:4">
      <c r="A335" t="s">
        <v>3487</v>
      </c>
      <c r="B335" t="s">
        <v>3488</v>
      </c>
      <c r="C335" t="s">
        <v>3489</v>
      </c>
      <c r="D335" s="64" t="s">
        <v>2502</v>
      </c>
    </row>
    <row r="336" spans="1:4">
      <c r="A336" t="s">
        <v>3490</v>
      </c>
      <c r="B336" t="s">
        <v>3491</v>
      </c>
      <c r="D336" s="64" t="s">
        <v>3042</v>
      </c>
    </row>
    <row r="337" spans="1:4">
      <c r="A337" t="s">
        <v>3492</v>
      </c>
      <c r="B337" t="s">
        <v>3493</v>
      </c>
      <c r="C337" t="s">
        <v>3494</v>
      </c>
      <c r="D337" s="64" t="s">
        <v>2502</v>
      </c>
    </row>
    <row r="338" spans="1:4">
      <c r="A338" t="s">
        <v>3495</v>
      </c>
      <c r="B338" t="s">
        <v>3496</v>
      </c>
      <c r="C338" t="s">
        <v>3497</v>
      </c>
      <c r="D338" s="64" t="s">
        <v>2502</v>
      </c>
    </row>
    <row r="339" spans="1:4">
      <c r="A339" t="s">
        <v>3498</v>
      </c>
      <c r="B339" t="s">
        <v>3499</v>
      </c>
      <c r="C339" t="s">
        <v>3500</v>
      </c>
      <c r="D339" s="64" t="s">
        <v>2502</v>
      </c>
    </row>
    <row r="340" spans="1:4">
      <c r="A340" t="s">
        <v>3501</v>
      </c>
      <c r="B340" t="s">
        <v>3502</v>
      </c>
      <c r="C340" t="s">
        <v>3503</v>
      </c>
      <c r="D340" s="64" t="s">
        <v>2502</v>
      </c>
    </row>
    <row r="341" spans="1:4">
      <c r="A341" t="s">
        <v>3504</v>
      </c>
      <c r="B341" t="s">
        <v>3505</v>
      </c>
      <c r="C341" t="s">
        <v>3506</v>
      </c>
      <c r="D341" s="64" t="s">
        <v>2502</v>
      </c>
    </row>
    <row r="342" spans="1:4">
      <c r="A342" t="s">
        <v>3507</v>
      </c>
      <c r="B342" t="s">
        <v>3508</v>
      </c>
      <c r="C342" t="s">
        <v>3509</v>
      </c>
      <c r="D342" s="64" t="s">
        <v>2502</v>
      </c>
    </row>
    <row r="343" spans="1:4">
      <c r="A343" t="s">
        <v>3510</v>
      </c>
      <c r="B343" t="s">
        <v>3511</v>
      </c>
      <c r="C343" t="s">
        <v>3512</v>
      </c>
      <c r="D343" s="64" t="s">
        <v>2502</v>
      </c>
    </row>
    <row r="344" spans="1:4">
      <c r="A344" t="s">
        <v>3513</v>
      </c>
      <c r="B344" t="s">
        <v>3514</v>
      </c>
      <c r="C344" t="s">
        <v>3515</v>
      </c>
      <c r="D344" s="64" t="s">
        <v>2539</v>
      </c>
    </row>
    <row r="345" spans="1:4">
      <c r="A345" t="s">
        <v>3516</v>
      </c>
      <c r="B345" t="s">
        <v>3517</v>
      </c>
      <c r="C345" t="s">
        <v>3518</v>
      </c>
      <c r="D345" s="64" t="s">
        <v>2502</v>
      </c>
    </row>
    <row r="346" spans="1:4">
      <c r="A346" t="s">
        <v>3519</v>
      </c>
      <c r="B346" t="s">
        <v>3520</v>
      </c>
      <c r="C346" t="s">
        <v>3521</v>
      </c>
      <c r="D346" s="64" t="s">
        <v>2502</v>
      </c>
    </row>
    <row r="347" spans="1:4">
      <c r="A347" t="s">
        <v>3522</v>
      </c>
      <c r="B347" t="s">
        <v>3523</v>
      </c>
      <c r="C347" t="s">
        <v>3524</v>
      </c>
      <c r="D347" s="64" t="s">
        <v>2502</v>
      </c>
    </row>
    <row r="348" spans="1:4">
      <c r="A348" t="s">
        <v>3525</v>
      </c>
      <c r="B348" t="s">
        <v>3526</v>
      </c>
      <c r="C348" t="s">
        <v>3527</v>
      </c>
      <c r="D348" s="64" t="s">
        <v>2502</v>
      </c>
    </row>
    <row r="349" spans="1:4">
      <c r="A349" t="s">
        <v>3528</v>
      </c>
      <c r="B349" t="s">
        <v>3529</v>
      </c>
      <c r="C349" t="s">
        <v>3530</v>
      </c>
      <c r="D349" s="64" t="s">
        <v>2502</v>
      </c>
    </row>
    <row r="350" spans="1:4">
      <c r="A350" t="s">
        <v>3531</v>
      </c>
      <c r="B350" t="s">
        <v>3532</v>
      </c>
      <c r="C350" t="s">
        <v>3533</v>
      </c>
      <c r="D350" s="64" t="s">
        <v>2502</v>
      </c>
    </row>
    <row r="351" spans="1:4">
      <c r="A351" t="s">
        <v>3534</v>
      </c>
      <c r="B351" t="s">
        <v>3535</v>
      </c>
      <c r="C351" t="s">
        <v>3536</v>
      </c>
      <c r="D351" s="64" t="s">
        <v>2502</v>
      </c>
    </row>
    <row r="352" spans="1:4">
      <c r="A352" t="s">
        <v>3537</v>
      </c>
      <c r="B352" t="s">
        <v>3538</v>
      </c>
      <c r="C352" t="s">
        <v>3539</v>
      </c>
      <c r="D352" s="64" t="s">
        <v>2502</v>
      </c>
    </row>
    <row r="353" spans="1:4">
      <c r="A353" t="s">
        <v>3540</v>
      </c>
      <c r="B353" t="s">
        <v>3541</v>
      </c>
      <c r="C353" t="s">
        <v>3542</v>
      </c>
      <c r="D353" s="64" t="s">
        <v>2502</v>
      </c>
    </row>
    <row r="354" spans="1:4">
      <c r="A354" t="s">
        <v>3543</v>
      </c>
      <c r="B354" t="s">
        <v>3544</v>
      </c>
      <c r="C354" t="s">
        <v>3545</v>
      </c>
      <c r="D354" s="64" t="s">
        <v>2502</v>
      </c>
    </row>
    <row r="355" spans="1:4">
      <c r="A355" t="s">
        <v>3546</v>
      </c>
      <c r="B355" t="s">
        <v>3547</v>
      </c>
      <c r="C355" t="s">
        <v>3548</v>
      </c>
      <c r="D355" s="64" t="s">
        <v>2502</v>
      </c>
    </row>
    <row r="356" spans="1:4">
      <c r="A356" t="s">
        <v>3549</v>
      </c>
      <c r="B356" t="s">
        <v>3550</v>
      </c>
      <c r="C356" t="s">
        <v>3551</v>
      </c>
      <c r="D356" s="64" t="s">
        <v>2502</v>
      </c>
    </row>
    <row r="357" spans="1:4">
      <c r="A357" t="s">
        <v>3552</v>
      </c>
      <c r="B357" t="s">
        <v>3553</v>
      </c>
      <c r="C357" t="s">
        <v>3554</v>
      </c>
      <c r="D357" s="64" t="s">
        <v>2502</v>
      </c>
    </row>
    <row r="358" spans="1:4">
      <c r="A358" t="s">
        <v>3555</v>
      </c>
      <c r="B358" t="s">
        <v>3556</v>
      </c>
      <c r="C358" t="s">
        <v>3557</v>
      </c>
      <c r="D358" s="64" t="s">
        <v>2502</v>
      </c>
    </row>
    <row r="359" spans="1:4">
      <c r="A359" t="s">
        <v>3558</v>
      </c>
      <c r="B359" t="s">
        <v>3559</v>
      </c>
      <c r="C359" t="s">
        <v>3560</v>
      </c>
      <c r="D359" s="64" t="s">
        <v>2539</v>
      </c>
    </row>
    <row r="360" spans="1:4">
      <c r="A360" t="s">
        <v>3561</v>
      </c>
      <c r="B360" t="s">
        <v>3562</v>
      </c>
      <c r="C360" t="s">
        <v>3563</v>
      </c>
      <c r="D360" s="64" t="s">
        <v>2502</v>
      </c>
    </row>
    <row r="361" spans="1:4">
      <c r="A361" t="s">
        <v>3564</v>
      </c>
      <c r="B361" t="s">
        <v>3565</v>
      </c>
      <c r="C361" t="s">
        <v>3566</v>
      </c>
      <c r="D361" s="64" t="s">
        <v>2502</v>
      </c>
    </row>
    <row r="362" spans="1:4">
      <c r="A362" t="s">
        <v>3567</v>
      </c>
      <c r="B362" t="s">
        <v>3568</v>
      </c>
      <c r="C362" t="s">
        <v>3569</v>
      </c>
      <c r="D362" s="64" t="s">
        <v>2502</v>
      </c>
    </row>
    <row r="363" spans="1:4">
      <c r="A363" t="s">
        <v>3570</v>
      </c>
      <c r="B363" t="s">
        <v>3571</v>
      </c>
      <c r="C363" t="s">
        <v>3572</v>
      </c>
      <c r="D363" s="64" t="s">
        <v>2502</v>
      </c>
    </row>
    <row r="364" spans="1:4">
      <c r="A364" t="s">
        <v>3573</v>
      </c>
      <c r="B364" t="s">
        <v>3574</v>
      </c>
      <c r="C364" t="s">
        <v>3575</v>
      </c>
      <c r="D364" s="64" t="s">
        <v>2502</v>
      </c>
    </row>
    <row r="365" spans="1:4">
      <c r="A365" t="s">
        <v>3576</v>
      </c>
      <c r="B365" t="s">
        <v>3577</v>
      </c>
      <c r="C365" t="s">
        <v>3578</v>
      </c>
      <c r="D365" s="64" t="s">
        <v>2502</v>
      </c>
    </row>
    <row r="366" spans="1:4">
      <c r="A366" t="s">
        <v>3579</v>
      </c>
      <c r="B366" t="s">
        <v>3580</v>
      </c>
      <c r="C366" t="s">
        <v>3581</v>
      </c>
      <c r="D366" s="64" t="s">
        <v>2502</v>
      </c>
    </row>
    <row r="367" spans="1:4">
      <c r="A367" t="s">
        <v>3582</v>
      </c>
      <c r="B367" t="s">
        <v>3583</v>
      </c>
      <c r="C367" t="s">
        <v>3584</v>
      </c>
      <c r="D367" s="64" t="s">
        <v>2502</v>
      </c>
    </row>
    <row r="368" spans="1:4">
      <c r="A368" t="s">
        <v>3585</v>
      </c>
      <c r="B368" t="s">
        <v>3586</v>
      </c>
      <c r="D368" s="64" t="s">
        <v>3042</v>
      </c>
    </row>
    <row r="369" spans="1:4">
      <c r="A369" t="s">
        <v>3587</v>
      </c>
      <c r="B369" t="s">
        <v>3588</v>
      </c>
      <c r="C369" t="s">
        <v>3589</v>
      </c>
      <c r="D369" s="64" t="s">
        <v>2502</v>
      </c>
    </row>
    <row r="370" spans="1:4">
      <c r="A370" t="s">
        <v>3590</v>
      </c>
      <c r="B370" t="s">
        <v>3591</v>
      </c>
      <c r="C370" t="s">
        <v>3592</v>
      </c>
      <c r="D370" s="64" t="s">
        <v>2502</v>
      </c>
    </row>
    <row r="371" spans="1:4">
      <c r="A371" t="s">
        <v>3593</v>
      </c>
      <c r="B371" t="s">
        <v>3594</v>
      </c>
      <c r="C371" t="s">
        <v>3595</v>
      </c>
      <c r="D371" s="64" t="s">
        <v>2502</v>
      </c>
    </row>
    <row r="372" spans="1:4">
      <c r="A372" t="s">
        <v>3596</v>
      </c>
      <c r="B372" t="s">
        <v>3597</v>
      </c>
      <c r="C372" t="s">
        <v>3598</v>
      </c>
      <c r="D372" s="64" t="s">
        <v>2502</v>
      </c>
    </row>
    <row r="373" spans="1:4">
      <c r="A373" t="s">
        <v>3599</v>
      </c>
      <c r="B373" t="s">
        <v>3600</v>
      </c>
      <c r="C373" t="s">
        <v>3601</v>
      </c>
      <c r="D373" s="64" t="s">
        <v>2539</v>
      </c>
    </row>
    <row r="374" spans="1:4">
      <c r="A374" t="s">
        <v>3602</v>
      </c>
      <c r="B374" t="s">
        <v>3603</v>
      </c>
      <c r="C374" t="s">
        <v>3604</v>
      </c>
      <c r="D374" s="64" t="s">
        <v>2539</v>
      </c>
    </row>
    <row r="375" spans="1:4">
      <c r="A375" t="s">
        <v>3605</v>
      </c>
      <c r="B375" t="s">
        <v>3606</v>
      </c>
      <c r="C375" t="s">
        <v>3607</v>
      </c>
      <c r="D375" s="64" t="s">
        <v>2502</v>
      </c>
    </row>
    <row r="376" spans="1:4">
      <c r="A376" t="s">
        <v>3608</v>
      </c>
      <c r="B376" t="s">
        <v>3609</v>
      </c>
      <c r="C376" t="s">
        <v>3610</v>
      </c>
      <c r="D376" s="64" t="s">
        <v>2502</v>
      </c>
    </row>
    <row r="377" spans="1:4">
      <c r="A377" t="s">
        <v>3611</v>
      </c>
      <c r="B377" t="s">
        <v>3612</v>
      </c>
      <c r="C377" t="s">
        <v>3613</v>
      </c>
      <c r="D377" s="64" t="s">
        <v>2539</v>
      </c>
    </row>
    <row r="378" spans="1:4">
      <c r="A378" t="s">
        <v>3614</v>
      </c>
      <c r="B378" t="s">
        <v>3615</v>
      </c>
      <c r="C378" t="s">
        <v>3616</v>
      </c>
      <c r="D378" s="64" t="s">
        <v>2502</v>
      </c>
    </row>
    <row r="379" spans="1:4">
      <c r="A379" t="s">
        <v>3617</v>
      </c>
      <c r="B379" t="s">
        <v>3618</v>
      </c>
      <c r="C379" t="s">
        <v>3619</v>
      </c>
      <c r="D379" s="64" t="s">
        <v>2539</v>
      </c>
    </row>
    <row r="380" spans="1:4">
      <c r="A380" t="s">
        <v>3620</v>
      </c>
      <c r="B380" t="s">
        <v>3621</v>
      </c>
      <c r="C380" t="s">
        <v>3622</v>
      </c>
      <c r="D380" s="64" t="s">
        <v>2539</v>
      </c>
    </row>
    <row r="381" spans="1:4">
      <c r="A381" t="s">
        <v>3623</v>
      </c>
      <c r="B381" t="s">
        <v>3624</v>
      </c>
      <c r="C381" t="s">
        <v>3625</v>
      </c>
      <c r="D381" s="64" t="s">
        <v>2502</v>
      </c>
    </row>
    <row r="382" spans="1:4">
      <c r="A382" t="s">
        <v>3626</v>
      </c>
      <c r="B382" t="s">
        <v>3627</v>
      </c>
      <c r="C382" t="s">
        <v>3589</v>
      </c>
      <c r="D382" s="64" t="s">
        <v>2502</v>
      </c>
    </row>
    <row r="383" spans="1:4">
      <c r="A383" t="s">
        <v>3628</v>
      </c>
      <c r="B383" t="s">
        <v>3629</v>
      </c>
      <c r="C383" t="s">
        <v>3630</v>
      </c>
      <c r="D383" s="64" t="s">
        <v>2502</v>
      </c>
    </row>
    <row r="384" spans="1:4">
      <c r="A384" t="s">
        <v>3631</v>
      </c>
      <c r="B384" t="s">
        <v>3632</v>
      </c>
      <c r="C384" t="s">
        <v>3633</v>
      </c>
      <c r="D384" s="64" t="s">
        <v>2502</v>
      </c>
    </row>
    <row r="385" spans="1:4">
      <c r="A385" t="s">
        <v>3634</v>
      </c>
      <c r="B385" t="s">
        <v>3635</v>
      </c>
      <c r="C385" t="s">
        <v>3636</v>
      </c>
      <c r="D385" s="64" t="s">
        <v>2539</v>
      </c>
    </row>
    <row r="386" spans="1:4">
      <c r="A386" t="s">
        <v>3637</v>
      </c>
      <c r="B386" t="s">
        <v>3638</v>
      </c>
      <c r="C386" t="s">
        <v>3639</v>
      </c>
      <c r="D386" s="64" t="s">
        <v>2502</v>
      </c>
    </row>
    <row r="387" spans="1:4">
      <c r="A387" t="s">
        <v>3640</v>
      </c>
      <c r="B387" t="s">
        <v>3641</v>
      </c>
      <c r="C387" t="s">
        <v>3642</v>
      </c>
      <c r="D387" s="64" t="s">
        <v>2502</v>
      </c>
    </row>
    <row r="388" spans="1:4">
      <c r="A388" t="s">
        <v>3643</v>
      </c>
      <c r="B388" t="s">
        <v>3644</v>
      </c>
      <c r="C388" t="s">
        <v>3645</v>
      </c>
      <c r="D388" s="64" t="s">
        <v>2502</v>
      </c>
    </row>
    <row r="389" spans="1:4">
      <c r="A389" t="s">
        <v>3646</v>
      </c>
      <c r="B389" t="s">
        <v>3647</v>
      </c>
      <c r="C389" t="s">
        <v>3648</v>
      </c>
      <c r="D389" s="64" t="s">
        <v>2539</v>
      </c>
    </row>
    <row r="390" spans="1:4">
      <c r="A390" t="s">
        <v>3649</v>
      </c>
      <c r="B390" t="s">
        <v>3650</v>
      </c>
      <c r="C390" t="s">
        <v>3651</v>
      </c>
      <c r="D390" s="64" t="s">
        <v>2502</v>
      </c>
    </row>
    <row r="391" spans="1:4">
      <c r="A391" t="s">
        <v>3652</v>
      </c>
      <c r="B391" t="s">
        <v>3653</v>
      </c>
      <c r="C391" t="s">
        <v>3654</v>
      </c>
      <c r="D391" s="64" t="s">
        <v>2502</v>
      </c>
    </row>
    <row r="392" spans="1:4">
      <c r="A392" t="s">
        <v>3655</v>
      </c>
      <c r="B392" t="s">
        <v>3656</v>
      </c>
      <c r="C392" t="s">
        <v>3657</v>
      </c>
      <c r="D392" s="64" t="s">
        <v>2502</v>
      </c>
    </row>
    <row r="393" spans="1:4">
      <c r="A393" t="s">
        <v>3658</v>
      </c>
      <c r="B393" t="s">
        <v>3659</v>
      </c>
      <c r="C393" t="s">
        <v>3660</v>
      </c>
      <c r="D393" s="64" t="s">
        <v>2502</v>
      </c>
    </row>
    <row r="394" spans="1:4">
      <c r="A394" t="s">
        <v>3661</v>
      </c>
      <c r="B394" t="s">
        <v>3662</v>
      </c>
      <c r="C394" t="s">
        <v>3663</v>
      </c>
      <c r="D394" s="64" t="s">
        <v>2502</v>
      </c>
    </row>
    <row r="395" spans="1:4">
      <c r="A395" t="s">
        <v>3664</v>
      </c>
      <c r="B395" t="s">
        <v>3665</v>
      </c>
      <c r="C395" t="s">
        <v>3666</v>
      </c>
      <c r="D395" s="64" t="s">
        <v>2539</v>
      </c>
    </row>
    <row r="396" spans="1:4">
      <c r="A396" t="s">
        <v>3667</v>
      </c>
      <c r="B396" t="s">
        <v>3668</v>
      </c>
      <c r="C396" t="s">
        <v>3669</v>
      </c>
      <c r="D396" s="64" t="s">
        <v>2539</v>
      </c>
    </row>
    <row r="397" spans="1:4">
      <c r="A397" t="s">
        <v>3670</v>
      </c>
      <c r="B397" t="s">
        <v>3671</v>
      </c>
      <c r="C397" t="s">
        <v>3672</v>
      </c>
      <c r="D397" s="64" t="s">
        <v>2502</v>
      </c>
    </row>
    <row r="398" spans="1:4">
      <c r="A398" t="s">
        <v>3673</v>
      </c>
      <c r="B398" t="s">
        <v>3674</v>
      </c>
      <c r="C398" t="s">
        <v>3675</v>
      </c>
      <c r="D398" s="64" t="s">
        <v>2502</v>
      </c>
    </row>
    <row r="399" spans="1:4">
      <c r="A399" t="s">
        <v>3676</v>
      </c>
      <c r="B399" t="s">
        <v>3677</v>
      </c>
      <c r="C399" t="s">
        <v>3678</v>
      </c>
      <c r="D399" s="64" t="s">
        <v>2502</v>
      </c>
    </row>
    <row r="400" spans="1:4">
      <c r="A400" t="s">
        <v>3679</v>
      </c>
      <c r="B400" t="s">
        <v>3680</v>
      </c>
      <c r="C400" t="s">
        <v>3681</v>
      </c>
      <c r="D400" s="64" t="s">
        <v>2502</v>
      </c>
    </row>
    <row r="401" spans="1:4">
      <c r="A401" t="s">
        <v>3682</v>
      </c>
      <c r="B401" t="s">
        <v>3683</v>
      </c>
      <c r="C401" t="s">
        <v>3684</v>
      </c>
      <c r="D401" s="64" t="s">
        <v>2502</v>
      </c>
    </row>
    <row r="402" spans="1:4">
      <c r="A402" t="s">
        <v>3685</v>
      </c>
      <c r="B402" t="s">
        <v>3686</v>
      </c>
      <c r="C402" t="s">
        <v>3687</v>
      </c>
      <c r="D402" s="64" t="s">
        <v>2502</v>
      </c>
    </row>
    <row r="403" spans="1:4">
      <c r="A403" t="s">
        <v>3688</v>
      </c>
      <c r="B403" t="s">
        <v>3689</v>
      </c>
      <c r="C403" t="s">
        <v>3690</v>
      </c>
      <c r="D403" s="64" t="s">
        <v>2502</v>
      </c>
    </row>
    <row r="404" spans="1:4">
      <c r="A404" t="s">
        <v>3691</v>
      </c>
      <c r="B404" t="s">
        <v>3692</v>
      </c>
      <c r="C404" t="s">
        <v>3693</v>
      </c>
      <c r="D404" s="64" t="s">
        <v>2539</v>
      </c>
    </row>
    <row r="405" spans="1:4">
      <c r="A405" t="s">
        <v>3694</v>
      </c>
      <c r="B405" t="s">
        <v>3695</v>
      </c>
      <c r="C405" t="s">
        <v>3696</v>
      </c>
      <c r="D405" s="64" t="s">
        <v>2539</v>
      </c>
    </row>
    <row r="406" spans="1:4">
      <c r="A406" t="s">
        <v>3697</v>
      </c>
      <c r="B406" t="s">
        <v>3698</v>
      </c>
      <c r="C406" t="s">
        <v>3699</v>
      </c>
      <c r="D406" s="64" t="s">
        <v>2502</v>
      </c>
    </row>
    <row r="407" spans="1:4">
      <c r="A407" t="s">
        <v>3700</v>
      </c>
      <c r="B407" t="s">
        <v>3701</v>
      </c>
      <c r="C407" t="s">
        <v>3702</v>
      </c>
      <c r="D407" s="64" t="s">
        <v>2502</v>
      </c>
    </row>
    <row r="408" spans="1:4">
      <c r="A408" t="s">
        <v>3703</v>
      </c>
      <c r="B408" t="s">
        <v>3704</v>
      </c>
      <c r="C408" t="s">
        <v>3705</v>
      </c>
      <c r="D408" s="64" t="s">
        <v>2502</v>
      </c>
    </row>
    <row r="409" spans="1:4">
      <c r="A409" t="s">
        <v>3706</v>
      </c>
      <c r="B409" t="s">
        <v>3707</v>
      </c>
      <c r="C409" t="s">
        <v>3708</v>
      </c>
      <c r="D409" s="64" t="s">
        <v>2502</v>
      </c>
    </row>
    <row r="410" spans="1:4">
      <c r="A410" t="s">
        <v>3709</v>
      </c>
      <c r="B410" t="s">
        <v>3710</v>
      </c>
      <c r="C410" t="s">
        <v>3711</v>
      </c>
      <c r="D410" s="64" t="s">
        <v>2539</v>
      </c>
    </row>
    <row r="411" spans="1:4">
      <c r="A411" t="s">
        <v>3712</v>
      </c>
      <c r="B411" t="s">
        <v>3713</v>
      </c>
      <c r="C411" t="s">
        <v>3714</v>
      </c>
      <c r="D411" s="64" t="s">
        <v>2502</v>
      </c>
    </row>
    <row r="412" spans="1:4">
      <c r="A412" t="s">
        <v>3715</v>
      </c>
      <c r="B412" t="s">
        <v>3716</v>
      </c>
      <c r="C412" t="s">
        <v>3717</v>
      </c>
      <c r="D412" s="64" t="s">
        <v>2502</v>
      </c>
    </row>
    <row r="413" spans="1:4">
      <c r="A413" t="s">
        <v>3718</v>
      </c>
      <c r="B413" t="s">
        <v>3719</v>
      </c>
      <c r="C413" t="s">
        <v>3720</v>
      </c>
      <c r="D413" s="64" t="s">
        <v>2502</v>
      </c>
    </row>
    <row r="414" spans="1:4">
      <c r="A414" t="s">
        <v>3721</v>
      </c>
      <c r="B414" t="s">
        <v>3722</v>
      </c>
      <c r="C414" t="s">
        <v>3723</v>
      </c>
      <c r="D414" s="64" t="s">
        <v>2539</v>
      </c>
    </row>
    <row r="415" spans="1:4">
      <c r="A415" t="s">
        <v>3724</v>
      </c>
      <c r="B415" t="s">
        <v>3725</v>
      </c>
      <c r="C415" t="s">
        <v>3726</v>
      </c>
      <c r="D415" s="64" t="s">
        <v>2502</v>
      </c>
    </row>
    <row r="416" spans="1:4">
      <c r="A416" t="s">
        <v>3727</v>
      </c>
      <c r="B416" t="s">
        <v>3728</v>
      </c>
      <c r="C416" t="s">
        <v>3729</v>
      </c>
      <c r="D416" s="64" t="s">
        <v>2539</v>
      </c>
    </row>
    <row r="417" spans="1:4">
      <c r="A417" t="s">
        <v>3730</v>
      </c>
      <c r="B417" t="s">
        <v>3731</v>
      </c>
      <c r="C417" t="s">
        <v>3732</v>
      </c>
      <c r="D417" s="64" t="s">
        <v>2502</v>
      </c>
    </row>
    <row r="418" spans="1:4">
      <c r="A418" t="s">
        <v>3733</v>
      </c>
      <c r="B418" t="s">
        <v>3734</v>
      </c>
      <c r="C418" t="s">
        <v>3735</v>
      </c>
      <c r="D418" s="64" t="s">
        <v>2502</v>
      </c>
    </row>
    <row r="419" spans="1:4">
      <c r="A419" t="s">
        <v>3736</v>
      </c>
      <c r="B419" t="s">
        <v>3737</v>
      </c>
      <c r="C419" t="s">
        <v>3738</v>
      </c>
      <c r="D419" s="64" t="s">
        <v>2502</v>
      </c>
    </row>
    <row r="420" spans="1:4">
      <c r="A420" t="s">
        <v>3739</v>
      </c>
      <c r="B420" t="s">
        <v>3740</v>
      </c>
      <c r="C420" t="s">
        <v>3741</v>
      </c>
      <c r="D420" s="64" t="s">
        <v>2539</v>
      </c>
    </row>
    <row r="421" spans="1:4">
      <c r="A421" t="s">
        <v>3742</v>
      </c>
      <c r="B421" t="s">
        <v>3743</v>
      </c>
      <c r="C421" t="s">
        <v>3744</v>
      </c>
      <c r="D421" s="64" t="s">
        <v>2502</v>
      </c>
    </row>
    <row r="422" spans="1:4">
      <c r="A422" t="s">
        <v>3745</v>
      </c>
      <c r="B422" t="s">
        <v>3746</v>
      </c>
      <c r="C422" t="s">
        <v>3747</v>
      </c>
      <c r="D422" s="64" t="s">
        <v>2502</v>
      </c>
    </row>
    <row r="423" spans="1:4">
      <c r="A423" t="s">
        <v>3748</v>
      </c>
      <c r="B423" t="s">
        <v>3749</v>
      </c>
      <c r="C423" t="s">
        <v>3750</v>
      </c>
      <c r="D423" s="64" t="s">
        <v>2502</v>
      </c>
    </row>
    <row r="424" spans="1:4">
      <c r="A424" t="s">
        <v>3751</v>
      </c>
      <c r="B424" t="s">
        <v>3752</v>
      </c>
      <c r="C424" t="s">
        <v>3753</v>
      </c>
      <c r="D424" s="64" t="s">
        <v>2502</v>
      </c>
    </row>
    <row r="425" spans="1:4">
      <c r="A425" t="s">
        <v>3754</v>
      </c>
      <c r="B425" t="s">
        <v>3755</v>
      </c>
      <c r="C425" t="s">
        <v>3756</v>
      </c>
      <c r="D425" s="64" t="s">
        <v>2539</v>
      </c>
    </row>
    <row r="426" spans="1:4">
      <c r="A426" t="s">
        <v>3757</v>
      </c>
      <c r="B426" t="s">
        <v>3758</v>
      </c>
      <c r="C426" t="s">
        <v>3759</v>
      </c>
      <c r="D426" s="64" t="s">
        <v>2539</v>
      </c>
    </row>
    <row r="427" spans="1:4">
      <c r="A427" t="s">
        <v>3760</v>
      </c>
      <c r="B427" t="s">
        <v>3761</v>
      </c>
      <c r="C427" t="s">
        <v>3762</v>
      </c>
      <c r="D427" s="64" t="s">
        <v>2502</v>
      </c>
    </row>
    <row r="428" spans="1:4">
      <c r="A428" t="s">
        <v>3763</v>
      </c>
      <c r="B428" t="s">
        <v>3764</v>
      </c>
      <c r="C428" t="s">
        <v>3765</v>
      </c>
      <c r="D428" s="64" t="s">
        <v>2502</v>
      </c>
    </row>
    <row r="429" spans="1:4">
      <c r="A429" t="s">
        <v>3766</v>
      </c>
      <c r="B429" t="s">
        <v>3767</v>
      </c>
      <c r="C429" t="s">
        <v>3768</v>
      </c>
      <c r="D429" s="64" t="s">
        <v>2502</v>
      </c>
    </row>
    <row r="430" spans="1:4">
      <c r="A430" t="s">
        <v>3769</v>
      </c>
      <c r="B430" t="s">
        <v>3770</v>
      </c>
      <c r="C430" t="s">
        <v>3771</v>
      </c>
      <c r="D430" s="64" t="s">
        <v>2502</v>
      </c>
    </row>
    <row r="431" spans="1:4">
      <c r="A431" t="s">
        <v>3772</v>
      </c>
      <c r="B431" t="s">
        <v>3773</v>
      </c>
      <c r="C431" t="s">
        <v>3774</v>
      </c>
      <c r="D431" s="64" t="s">
        <v>2539</v>
      </c>
    </row>
    <row r="432" spans="1:4">
      <c r="A432" t="s">
        <v>3775</v>
      </c>
      <c r="B432" t="s">
        <v>3776</v>
      </c>
      <c r="C432" t="s">
        <v>3777</v>
      </c>
      <c r="D432" s="64" t="s">
        <v>2502</v>
      </c>
    </row>
    <row r="433" spans="1:4">
      <c r="A433" t="s">
        <v>3778</v>
      </c>
      <c r="B433" t="s">
        <v>3779</v>
      </c>
      <c r="C433" t="s">
        <v>3780</v>
      </c>
      <c r="D433" s="64" t="s">
        <v>2502</v>
      </c>
    </row>
    <row r="434" spans="1:4">
      <c r="A434" t="s">
        <v>2654</v>
      </c>
      <c r="B434" t="s">
        <v>3781</v>
      </c>
      <c r="C434" t="s">
        <v>2656</v>
      </c>
      <c r="D434" s="64" t="s">
        <v>2539</v>
      </c>
    </row>
    <row r="435" spans="1:4">
      <c r="A435" t="s">
        <v>3782</v>
      </c>
      <c r="B435" t="s">
        <v>3783</v>
      </c>
      <c r="C435" t="s">
        <v>3784</v>
      </c>
      <c r="D435" s="64" t="s">
        <v>2539</v>
      </c>
    </row>
    <row r="436" spans="1:4">
      <c r="A436" t="s">
        <v>3785</v>
      </c>
      <c r="B436" t="s">
        <v>3786</v>
      </c>
      <c r="C436" t="s">
        <v>3787</v>
      </c>
      <c r="D436" s="64" t="s">
        <v>2502</v>
      </c>
    </row>
    <row r="437" spans="1:4">
      <c r="A437" t="s">
        <v>3788</v>
      </c>
      <c r="B437" t="s">
        <v>3789</v>
      </c>
      <c r="C437" t="s">
        <v>3790</v>
      </c>
      <c r="D437" s="64" t="s">
        <v>2502</v>
      </c>
    </row>
    <row r="438" spans="1:4">
      <c r="A438" t="s">
        <v>3791</v>
      </c>
      <c r="B438" t="s">
        <v>3792</v>
      </c>
      <c r="C438" t="s">
        <v>3793</v>
      </c>
      <c r="D438" s="64" t="s">
        <v>2502</v>
      </c>
    </row>
    <row r="439" spans="1:4">
      <c r="A439" t="s">
        <v>3794</v>
      </c>
      <c r="B439" t="s">
        <v>3795</v>
      </c>
      <c r="C439" t="s">
        <v>3796</v>
      </c>
      <c r="D439" s="64" t="s">
        <v>2502</v>
      </c>
    </row>
    <row r="440" spans="1:4">
      <c r="A440" t="s">
        <v>3797</v>
      </c>
      <c r="B440" t="s">
        <v>3798</v>
      </c>
      <c r="C440" t="s">
        <v>3799</v>
      </c>
      <c r="D440" s="64" t="s">
        <v>2502</v>
      </c>
    </row>
    <row r="441" spans="1:4">
      <c r="A441" t="s">
        <v>3800</v>
      </c>
      <c r="B441" t="s">
        <v>3801</v>
      </c>
      <c r="C441" t="s">
        <v>3802</v>
      </c>
      <c r="D441" s="64" t="s">
        <v>2502</v>
      </c>
    </row>
    <row r="442" spans="1:4">
      <c r="A442" t="s">
        <v>3803</v>
      </c>
      <c r="B442" t="s">
        <v>3804</v>
      </c>
      <c r="C442" t="s">
        <v>3805</v>
      </c>
      <c r="D442" s="64" t="s">
        <v>2502</v>
      </c>
    </row>
    <row r="443" spans="1:4">
      <c r="A443" t="s">
        <v>3806</v>
      </c>
      <c r="B443" t="s">
        <v>3807</v>
      </c>
      <c r="C443" t="s">
        <v>3808</v>
      </c>
      <c r="D443" s="64" t="s">
        <v>2502</v>
      </c>
    </row>
    <row r="444" spans="1:4">
      <c r="A444" t="s">
        <v>3809</v>
      </c>
      <c r="B444" t="s">
        <v>3810</v>
      </c>
      <c r="C444" t="s">
        <v>3811</v>
      </c>
      <c r="D444" s="64" t="s">
        <v>2502</v>
      </c>
    </row>
    <row r="445" spans="1:4">
      <c r="A445" t="s">
        <v>3812</v>
      </c>
      <c r="B445" t="s">
        <v>3813</v>
      </c>
      <c r="C445" t="s">
        <v>3814</v>
      </c>
      <c r="D445" s="64" t="s">
        <v>2502</v>
      </c>
    </row>
    <row r="446" spans="1:4">
      <c r="A446" t="s">
        <v>3815</v>
      </c>
      <c r="B446" t="s">
        <v>3816</v>
      </c>
      <c r="C446" t="s">
        <v>3817</v>
      </c>
      <c r="D446" s="64" t="s">
        <v>2502</v>
      </c>
    </row>
    <row r="447" spans="1:4">
      <c r="A447" t="s">
        <v>3818</v>
      </c>
      <c r="B447" t="s">
        <v>3819</v>
      </c>
      <c r="C447" t="s">
        <v>3820</v>
      </c>
      <c r="D447" s="64" t="s">
        <v>2502</v>
      </c>
    </row>
    <row r="448" spans="1:4">
      <c r="A448" t="s">
        <v>3821</v>
      </c>
      <c r="B448" t="s">
        <v>3822</v>
      </c>
      <c r="C448" t="s">
        <v>3823</v>
      </c>
      <c r="D448" s="64" t="s">
        <v>2502</v>
      </c>
    </row>
    <row r="449" spans="1:4">
      <c r="A449" t="s">
        <v>3824</v>
      </c>
      <c r="B449" t="s">
        <v>3825</v>
      </c>
      <c r="C449" t="s">
        <v>3826</v>
      </c>
      <c r="D449" s="64" t="s">
        <v>2502</v>
      </c>
    </row>
    <row r="450" spans="1:4">
      <c r="A450" t="s">
        <v>607</v>
      </c>
      <c r="B450" t="s">
        <v>3827</v>
      </c>
      <c r="C450" t="s">
        <v>3828</v>
      </c>
      <c r="D450" s="64" t="s">
        <v>2502</v>
      </c>
    </row>
    <row r="451" spans="1:4">
      <c r="A451" t="s">
        <v>3829</v>
      </c>
      <c r="B451" t="s">
        <v>3830</v>
      </c>
      <c r="C451" t="s">
        <v>3831</v>
      </c>
      <c r="D451" s="64" t="s">
        <v>2502</v>
      </c>
    </row>
    <row r="452" spans="1:4">
      <c r="A452" t="s">
        <v>3832</v>
      </c>
      <c r="B452" t="s">
        <v>3833</v>
      </c>
      <c r="C452" t="s">
        <v>3834</v>
      </c>
      <c r="D452" s="64" t="s">
        <v>2502</v>
      </c>
    </row>
    <row r="453" spans="1:4">
      <c r="A453" t="s">
        <v>3835</v>
      </c>
      <c r="B453" t="s">
        <v>3836</v>
      </c>
      <c r="C453" t="s">
        <v>3837</v>
      </c>
      <c r="D453" s="64" t="s">
        <v>2502</v>
      </c>
    </row>
    <row r="454" spans="1:4">
      <c r="A454" t="s">
        <v>3838</v>
      </c>
      <c r="B454" t="s">
        <v>3839</v>
      </c>
      <c r="C454" t="s">
        <v>3840</v>
      </c>
      <c r="D454" s="64" t="s">
        <v>2502</v>
      </c>
    </row>
    <row r="455" spans="1:4">
      <c r="A455" t="s">
        <v>3841</v>
      </c>
      <c r="B455" t="s">
        <v>3842</v>
      </c>
      <c r="C455" t="s">
        <v>3843</v>
      </c>
      <c r="D455" s="64" t="s">
        <v>2502</v>
      </c>
    </row>
    <row r="456" spans="1:4">
      <c r="A456" t="s">
        <v>3844</v>
      </c>
      <c r="B456" t="s">
        <v>3845</v>
      </c>
      <c r="C456" t="s">
        <v>3846</v>
      </c>
      <c r="D456" s="64" t="s">
        <v>2502</v>
      </c>
    </row>
    <row r="457" spans="1:4">
      <c r="A457" t="s">
        <v>3847</v>
      </c>
      <c r="B457" t="s">
        <v>3848</v>
      </c>
      <c r="C457" t="s">
        <v>3849</v>
      </c>
      <c r="D457" s="64" t="s">
        <v>2502</v>
      </c>
    </row>
    <row r="458" spans="1:4">
      <c r="A458" t="s">
        <v>3850</v>
      </c>
      <c r="B458" t="s">
        <v>3851</v>
      </c>
      <c r="C458" t="s">
        <v>3852</v>
      </c>
      <c r="D458" s="64" t="s">
        <v>2502</v>
      </c>
    </row>
    <row r="459" spans="1:4">
      <c r="A459" t="s">
        <v>3853</v>
      </c>
      <c r="B459" t="s">
        <v>3854</v>
      </c>
      <c r="C459" t="s">
        <v>3855</v>
      </c>
      <c r="D459" s="64" t="s">
        <v>2502</v>
      </c>
    </row>
    <row r="460" spans="1:4">
      <c r="A460" t="s">
        <v>3856</v>
      </c>
      <c r="B460" t="s">
        <v>3857</v>
      </c>
      <c r="C460" t="s">
        <v>3858</v>
      </c>
      <c r="D460" s="64" t="s">
        <v>2502</v>
      </c>
    </row>
    <row r="461" spans="1:4">
      <c r="A461" t="s">
        <v>3859</v>
      </c>
      <c r="B461" t="s">
        <v>3860</v>
      </c>
      <c r="C461" t="s">
        <v>3861</v>
      </c>
      <c r="D461" s="64" t="s">
        <v>2502</v>
      </c>
    </row>
    <row r="462" spans="1:4">
      <c r="A462" t="s">
        <v>3862</v>
      </c>
      <c r="B462" t="s">
        <v>3863</v>
      </c>
      <c r="C462" t="s">
        <v>3864</v>
      </c>
      <c r="D462" s="64" t="s">
        <v>2502</v>
      </c>
    </row>
    <row r="463" spans="1:4">
      <c r="A463" t="s">
        <v>3865</v>
      </c>
      <c r="B463" t="s">
        <v>3866</v>
      </c>
      <c r="C463" t="s">
        <v>3867</v>
      </c>
      <c r="D463" s="64" t="s">
        <v>2502</v>
      </c>
    </row>
    <row r="464" spans="1:4">
      <c r="A464" t="s">
        <v>3868</v>
      </c>
      <c r="B464" t="s">
        <v>3869</v>
      </c>
      <c r="C464" t="s">
        <v>3870</v>
      </c>
      <c r="D464" s="64" t="s">
        <v>2502</v>
      </c>
    </row>
    <row r="465" spans="1:4">
      <c r="A465" t="s">
        <v>3871</v>
      </c>
      <c r="B465" t="s">
        <v>3872</v>
      </c>
      <c r="C465" t="s">
        <v>3873</v>
      </c>
      <c r="D465" s="64" t="s">
        <v>2502</v>
      </c>
    </row>
    <row r="466" spans="1:4">
      <c r="A466" t="s">
        <v>3874</v>
      </c>
      <c r="B466" t="s">
        <v>3875</v>
      </c>
      <c r="C466" t="s">
        <v>3876</v>
      </c>
      <c r="D466" s="64" t="s">
        <v>2502</v>
      </c>
    </row>
    <row r="467" spans="1:4">
      <c r="A467" t="s">
        <v>3877</v>
      </c>
      <c r="B467" t="s">
        <v>3878</v>
      </c>
      <c r="C467" t="s">
        <v>3879</v>
      </c>
      <c r="D467" s="64" t="s">
        <v>2502</v>
      </c>
    </row>
    <row r="468" spans="1:4">
      <c r="A468" t="s">
        <v>3880</v>
      </c>
      <c r="B468" t="s">
        <v>3881</v>
      </c>
      <c r="C468" t="s">
        <v>3882</v>
      </c>
      <c r="D468" s="64" t="s">
        <v>2502</v>
      </c>
    </row>
    <row r="469" spans="1:4">
      <c r="A469" t="s">
        <v>3883</v>
      </c>
      <c r="B469" t="s">
        <v>3884</v>
      </c>
      <c r="C469" t="s">
        <v>3885</v>
      </c>
      <c r="D469" s="64" t="s">
        <v>2502</v>
      </c>
    </row>
    <row r="470" spans="1:4">
      <c r="A470" t="s">
        <v>3886</v>
      </c>
      <c r="B470" t="s">
        <v>3887</v>
      </c>
      <c r="C470" t="s">
        <v>3888</v>
      </c>
      <c r="D470" s="64" t="s">
        <v>2502</v>
      </c>
    </row>
    <row r="471" spans="1:4">
      <c r="A471" t="s">
        <v>3889</v>
      </c>
      <c r="B471" t="s">
        <v>3890</v>
      </c>
      <c r="C471" t="s">
        <v>3891</v>
      </c>
      <c r="D471" s="64" t="s">
        <v>2502</v>
      </c>
    </row>
    <row r="472" spans="1:4">
      <c r="A472" t="s">
        <v>3892</v>
      </c>
      <c r="B472" t="s">
        <v>3893</v>
      </c>
      <c r="C472" t="s">
        <v>3894</v>
      </c>
      <c r="D472" s="64" t="s">
        <v>2502</v>
      </c>
    </row>
    <row r="473" spans="1:4">
      <c r="A473" t="s">
        <v>3895</v>
      </c>
      <c r="B473" t="s">
        <v>3896</v>
      </c>
      <c r="C473" t="s">
        <v>3897</v>
      </c>
      <c r="D473" s="64" t="s">
        <v>2502</v>
      </c>
    </row>
    <row r="474" spans="1:4">
      <c r="A474" t="s">
        <v>3898</v>
      </c>
      <c r="B474" t="s">
        <v>3899</v>
      </c>
      <c r="C474" t="s">
        <v>3900</v>
      </c>
      <c r="D474" s="64" t="s">
        <v>2539</v>
      </c>
    </row>
    <row r="475" spans="1:4">
      <c r="A475" t="s">
        <v>3901</v>
      </c>
      <c r="B475" t="s">
        <v>3902</v>
      </c>
      <c r="C475" t="s">
        <v>3903</v>
      </c>
      <c r="D475" s="64" t="s">
        <v>2502</v>
      </c>
    </row>
    <row r="476" spans="1:4">
      <c r="A476" t="s">
        <v>3904</v>
      </c>
      <c r="B476" t="s">
        <v>3905</v>
      </c>
      <c r="C476" t="s">
        <v>3906</v>
      </c>
      <c r="D476" s="64" t="s">
        <v>2502</v>
      </c>
    </row>
    <row r="477" spans="1:4">
      <c r="A477" t="s">
        <v>3907</v>
      </c>
      <c r="B477" t="s">
        <v>3908</v>
      </c>
      <c r="C477" t="s">
        <v>3909</v>
      </c>
      <c r="D477" s="64" t="s">
        <v>2502</v>
      </c>
    </row>
    <row r="478" spans="1:4">
      <c r="A478" t="s">
        <v>3910</v>
      </c>
      <c r="B478" t="s">
        <v>3911</v>
      </c>
      <c r="C478" t="s">
        <v>3912</v>
      </c>
      <c r="D478" s="64" t="s">
        <v>2502</v>
      </c>
    </row>
    <row r="479" spans="1:4">
      <c r="A479" t="s">
        <v>3913</v>
      </c>
      <c r="B479" t="s">
        <v>3914</v>
      </c>
      <c r="C479" t="s">
        <v>3915</v>
      </c>
      <c r="D479" s="64" t="s">
        <v>2502</v>
      </c>
    </row>
    <row r="480" spans="1:4">
      <c r="A480" t="s">
        <v>3916</v>
      </c>
      <c r="B480" t="s">
        <v>3917</v>
      </c>
      <c r="C480" t="s">
        <v>3918</v>
      </c>
      <c r="D480" s="64" t="s">
        <v>2502</v>
      </c>
    </row>
    <row r="481" spans="1:4">
      <c r="A481" t="s">
        <v>3919</v>
      </c>
      <c r="B481" t="s">
        <v>3920</v>
      </c>
      <c r="C481" t="s">
        <v>3921</v>
      </c>
      <c r="D481" s="64" t="s">
        <v>2539</v>
      </c>
    </row>
    <row r="482" spans="1:4">
      <c r="A482" t="s">
        <v>3922</v>
      </c>
      <c r="B482" t="s">
        <v>3923</v>
      </c>
      <c r="C482" t="s">
        <v>3924</v>
      </c>
      <c r="D482" s="64" t="s">
        <v>2502</v>
      </c>
    </row>
    <row r="483" spans="1:4">
      <c r="A483" t="s">
        <v>3925</v>
      </c>
      <c r="B483" t="s">
        <v>3926</v>
      </c>
      <c r="C483" t="s">
        <v>3927</v>
      </c>
      <c r="D483" s="64" t="s">
        <v>2502</v>
      </c>
    </row>
    <row r="484" spans="1:4">
      <c r="A484" t="s">
        <v>3928</v>
      </c>
      <c r="B484" t="s">
        <v>3929</v>
      </c>
      <c r="C484" t="s">
        <v>3930</v>
      </c>
      <c r="D484" s="64" t="s">
        <v>2502</v>
      </c>
    </row>
    <row r="485" spans="1:4">
      <c r="A485" t="s">
        <v>3931</v>
      </c>
      <c r="B485" t="s">
        <v>3932</v>
      </c>
      <c r="C485" t="s">
        <v>3933</v>
      </c>
      <c r="D485" s="64" t="s">
        <v>2502</v>
      </c>
    </row>
    <row r="486" spans="1:4">
      <c r="A486" t="s">
        <v>3934</v>
      </c>
      <c r="B486" t="s">
        <v>3935</v>
      </c>
      <c r="C486" t="s">
        <v>3936</v>
      </c>
      <c r="D486" s="64" t="s">
        <v>2539</v>
      </c>
    </row>
    <row r="487" spans="1:4">
      <c r="A487" t="s">
        <v>3937</v>
      </c>
      <c r="B487" t="s">
        <v>3938</v>
      </c>
      <c r="C487" t="s">
        <v>3939</v>
      </c>
      <c r="D487" s="64" t="s">
        <v>2502</v>
      </c>
    </row>
    <row r="488" spans="1:4">
      <c r="A488" t="s">
        <v>3940</v>
      </c>
      <c r="B488" t="s">
        <v>3941</v>
      </c>
      <c r="C488" t="s">
        <v>2557</v>
      </c>
      <c r="D488" s="64" t="s">
        <v>2502</v>
      </c>
    </row>
    <row r="489" spans="1:4">
      <c r="A489" t="s">
        <v>3942</v>
      </c>
      <c r="B489" t="s">
        <v>3943</v>
      </c>
      <c r="C489" t="s">
        <v>3944</v>
      </c>
      <c r="D489" s="64" t="s">
        <v>2502</v>
      </c>
    </row>
    <row r="490" spans="1:4">
      <c r="A490" t="s">
        <v>2675</v>
      </c>
      <c r="B490" t="s">
        <v>3945</v>
      </c>
      <c r="C490" t="s">
        <v>3946</v>
      </c>
      <c r="D490" s="64" t="s">
        <v>2539</v>
      </c>
    </row>
    <row r="491" spans="1:4">
      <c r="A491" t="s">
        <v>3947</v>
      </c>
      <c r="B491" t="s">
        <v>3948</v>
      </c>
      <c r="C491" t="s">
        <v>3949</v>
      </c>
      <c r="D491" s="64" t="s">
        <v>2502</v>
      </c>
    </row>
    <row r="492" spans="1:4">
      <c r="A492" t="s">
        <v>2324</v>
      </c>
      <c r="B492" t="s">
        <v>3950</v>
      </c>
      <c r="C492" t="s">
        <v>3312</v>
      </c>
      <c r="D492" s="64" t="s">
        <v>2502</v>
      </c>
    </row>
    <row r="493" spans="1:4">
      <c r="A493" t="s">
        <v>3951</v>
      </c>
      <c r="B493" t="s">
        <v>3952</v>
      </c>
      <c r="C493" t="s">
        <v>3953</v>
      </c>
      <c r="D493" s="64" t="s">
        <v>2502</v>
      </c>
    </row>
    <row r="494" spans="1:4">
      <c r="A494" t="s">
        <v>3954</v>
      </c>
      <c r="B494" t="s">
        <v>3955</v>
      </c>
      <c r="C494" t="s">
        <v>3956</v>
      </c>
      <c r="D494" s="64" t="s">
        <v>2539</v>
      </c>
    </row>
    <row r="495" spans="1:4">
      <c r="A495" t="s">
        <v>3957</v>
      </c>
      <c r="B495" t="s">
        <v>3958</v>
      </c>
      <c r="C495" t="s">
        <v>3959</v>
      </c>
      <c r="D495" s="64" t="s">
        <v>2502</v>
      </c>
    </row>
    <row r="496" spans="1:4">
      <c r="A496" t="s">
        <v>3960</v>
      </c>
      <c r="B496" t="s">
        <v>3961</v>
      </c>
      <c r="C496" t="s">
        <v>3962</v>
      </c>
      <c r="D496" s="64" t="s">
        <v>2502</v>
      </c>
    </row>
    <row r="497" spans="1:4">
      <c r="A497" t="s">
        <v>3963</v>
      </c>
      <c r="B497" t="s">
        <v>3964</v>
      </c>
      <c r="C497" t="s">
        <v>3965</v>
      </c>
      <c r="D497" s="64" t="s">
        <v>2539</v>
      </c>
    </row>
    <row r="498" spans="1:4">
      <c r="A498" t="s">
        <v>3966</v>
      </c>
      <c r="B498" t="s">
        <v>3967</v>
      </c>
      <c r="C498" t="s">
        <v>3968</v>
      </c>
      <c r="D498" s="64" t="s">
        <v>2502</v>
      </c>
    </row>
    <row r="499" spans="1:4">
      <c r="A499" t="s">
        <v>3969</v>
      </c>
      <c r="B499" t="s">
        <v>3970</v>
      </c>
      <c r="C499" t="s">
        <v>3971</v>
      </c>
      <c r="D499" s="64" t="s">
        <v>2502</v>
      </c>
    </row>
    <row r="500" spans="1:4">
      <c r="A500" t="s">
        <v>3972</v>
      </c>
      <c r="B500" t="s">
        <v>3973</v>
      </c>
      <c r="C500" t="s">
        <v>3974</v>
      </c>
      <c r="D500" s="64" t="s">
        <v>2502</v>
      </c>
    </row>
    <row r="501" spans="1:4">
      <c r="A501" t="s">
        <v>3975</v>
      </c>
      <c r="B501" t="s">
        <v>3976</v>
      </c>
      <c r="C501" t="s">
        <v>3977</v>
      </c>
      <c r="D501" s="64" t="s">
        <v>2502</v>
      </c>
    </row>
    <row r="502" spans="1:4">
      <c r="A502" t="s">
        <v>3978</v>
      </c>
      <c r="B502" t="s">
        <v>3979</v>
      </c>
      <c r="C502" t="s">
        <v>3980</v>
      </c>
      <c r="D502" s="64" t="s">
        <v>2502</v>
      </c>
    </row>
    <row r="503" spans="1:4">
      <c r="A503" t="s">
        <v>3981</v>
      </c>
      <c r="B503" t="s">
        <v>3982</v>
      </c>
      <c r="C503" t="s">
        <v>3983</v>
      </c>
      <c r="D503" s="64" t="s">
        <v>2502</v>
      </c>
    </row>
    <row r="504" spans="1:4">
      <c r="A504" t="s">
        <v>3984</v>
      </c>
      <c r="B504" t="s">
        <v>3985</v>
      </c>
      <c r="C504" t="s">
        <v>3986</v>
      </c>
      <c r="D504" s="64" t="s">
        <v>2539</v>
      </c>
    </row>
    <row r="505" spans="1:4">
      <c r="A505" t="s">
        <v>3987</v>
      </c>
      <c r="B505" t="s">
        <v>3988</v>
      </c>
      <c r="C505" t="s">
        <v>3989</v>
      </c>
      <c r="D505" s="64" t="s">
        <v>2502</v>
      </c>
    </row>
    <row r="506" spans="1:4">
      <c r="A506" t="s">
        <v>3990</v>
      </c>
      <c r="B506" t="s">
        <v>3991</v>
      </c>
      <c r="C506" t="s">
        <v>3992</v>
      </c>
      <c r="D506" s="64" t="s">
        <v>2502</v>
      </c>
    </row>
    <row r="507" spans="1:4">
      <c r="A507" t="s">
        <v>3993</v>
      </c>
      <c r="B507" t="s">
        <v>3994</v>
      </c>
      <c r="C507" t="s">
        <v>3995</v>
      </c>
      <c r="D507" s="64" t="s">
        <v>2502</v>
      </c>
    </row>
    <row r="508" spans="1:4">
      <c r="A508" t="s">
        <v>3996</v>
      </c>
      <c r="B508" t="s">
        <v>3997</v>
      </c>
      <c r="C508" t="s">
        <v>3998</v>
      </c>
      <c r="D508" s="64" t="s">
        <v>2502</v>
      </c>
    </row>
    <row r="509" spans="1:4">
      <c r="A509" t="s">
        <v>3999</v>
      </c>
      <c r="B509" t="s">
        <v>4000</v>
      </c>
      <c r="C509" t="s">
        <v>4001</v>
      </c>
      <c r="D509" s="64" t="s">
        <v>2502</v>
      </c>
    </row>
    <row r="510" spans="1:4">
      <c r="A510" t="s">
        <v>4002</v>
      </c>
      <c r="B510" t="s">
        <v>4003</v>
      </c>
      <c r="C510" t="s">
        <v>4004</v>
      </c>
      <c r="D510" s="64" t="s">
        <v>2502</v>
      </c>
    </row>
    <row r="511" spans="1:4">
      <c r="A511" t="s">
        <v>4005</v>
      </c>
      <c r="B511" t="s">
        <v>4006</v>
      </c>
      <c r="C511" t="s">
        <v>4007</v>
      </c>
      <c r="D511" s="64" t="s">
        <v>2502</v>
      </c>
    </row>
    <row r="512" spans="1:4">
      <c r="A512" t="s">
        <v>4008</v>
      </c>
      <c r="B512" t="s">
        <v>4009</v>
      </c>
      <c r="C512" t="s">
        <v>4010</v>
      </c>
      <c r="D512" s="64" t="s">
        <v>2502</v>
      </c>
    </row>
    <row r="513" spans="1:4">
      <c r="A513" t="s">
        <v>4011</v>
      </c>
      <c r="B513" t="s">
        <v>4012</v>
      </c>
      <c r="C513" t="s">
        <v>4013</v>
      </c>
      <c r="D513" s="64" t="s">
        <v>2502</v>
      </c>
    </row>
    <row r="514" spans="1:4">
      <c r="A514" t="s">
        <v>4014</v>
      </c>
      <c r="B514" t="s">
        <v>4015</v>
      </c>
      <c r="C514" t="s">
        <v>4016</v>
      </c>
      <c r="D514" s="64" t="s">
        <v>2502</v>
      </c>
    </row>
    <row r="515" spans="1:4">
      <c r="A515" t="s">
        <v>4017</v>
      </c>
      <c r="B515" t="s">
        <v>4018</v>
      </c>
      <c r="C515" t="s">
        <v>4019</v>
      </c>
      <c r="D515" s="64" t="s">
        <v>2539</v>
      </c>
    </row>
    <row r="516" spans="1:4">
      <c r="A516" t="s">
        <v>4020</v>
      </c>
      <c r="B516" t="s">
        <v>4021</v>
      </c>
      <c r="C516" t="s">
        <v>4022</v>
      </c>
      <c r="D516" s="64" t="s">
        <v>2502</v>
      </c>
    </row>
    <row r="517" spans="1:4">
      <c r="A517" t="s">
        <v>4023</v>
      </c>
      <c r="B517" t="s">
        <v>4024</v>
      </c>
      <c r="C517" t="s">
        <v>4025</v>
      </c>
      <c r="D517" s="64" t="s">
        <v>2539</v>
      </c>
    </row>
    <row r="518" spans="1:4">
      <c r="A518" t="s">
        <v>4026</v>
      </c>
      <c r="B518" t="s">
        <v>4027</v>
      </c>
      <c r="C518" t="s">
        <v>4028</v>
      </c>
      <c r="D518" s="64" t="s">
        <v>2539</v>
      </c>
    </row>
    <row r="519" spans="1:4">
      <c r="A519" t="s">
        <v>4029</v>
      </c>
      <c r="B519" t="s">
        <v>4030</v>
      </c>
      <c r="C519" t="s">
        <v>4031</v>
      </c>
      <c r="D519" s="64" t="s">
        <v>2539</v>
      </c>
    </row>
    <row r="520" spans="1:4">
      <c r="A520" t="s">
        <v>4032</v>
      </c>
      <c r="B520" t="s">
        <v>4033</v>
      </c>
      <c r="C520" t="s">
        <v>4034</v>
      </c>
      <c r="D520" s="64" t="s">
        <v>2539</v>
      </c>
    </row>
    <row r="521" spans="1:4">
      <c r="A521" t="s">
        <v>4035</v>
      </c>
      <c r="B521" t="s">
        <v>4036</v>
      </c>
      <c r="C521" t="s">
        <v>4037</v>
      </c>
      <c r="D521" s="64" t="s">
        <v>2502</v>
      </c>
    </row>
    <row r="522" spans="1:4">
      <c r="A522" t="s">
        <v>4038</v>
      </c>
      <c r="B522" t="s">
        <v>4039</v>
      </c>
      <c r="C522" t="s">
        <v>4040</v>
      </c>
      <c r="D522" s="64" t="s">
        <v>2502</v>
      </c>
    </row>
    <row r="523" spans="1:4">
      <c r="A523" t="s">
        <v>4041</v>
      </c>
      <c r="B523" t="s">
        <v>4042</v>
      </c>
      <c r="C523" t="s">
        <v>4043</v>
      </c>
      <c r="D523" s="64" t="s">
        <v>2502</v>
      </c>
    </row>
    <row r="524" spans="1:4">
      <c r="A524" t="s">
        <v>4044</v>
      </c>
      <c r="B524" t="s">
        <v>4045</v>
      </c>
      <c r="C524" t="s">
        <v>2508</v>
      </c>
      <c r="D524" s="64" t="s">
        <v>2539</v>
      </c>
    </row>
    <row r="525" spans="1:4">
      <c r="A525" t="s">
        <v>4046</v>
      </c>
      <c r="B525" t="s">
        <v>4047</v>
      </c>
      <c r="C525" t="s">
        <v>4048</v>
      </c>
      <c r="D525" s="64" t="s">
        <v>2502</v>
      </c>
    </row>
    <row r="526" spans="1:4">
      <c r="A526" t="s">
        <v>4049</v>
      </c>
      <c r="B526" t="s">
        <v>4050</v>
      </c>
      <c r="C526" t="s">
        <v>4051</v>
      </c>
      <c r="D526" s="64" t="s">
        <v>2502</v>
      </c>
    </row>
    <row r="527" spans="1:4">
      <c r="A527" t="s">
        <v>1835</v>
      </c>
      <c r="B527" t="s">
        <v>4052</v>
      </c>
      <c r="C527" t="s">
        <v>4053</v>
      </c>
      <c r="D527" s="64" t="s">
        <v>2539</v>
      </c>
    </row>
    <row r="528" spans="1:4">
      <c r="A528" t="s">
        <v>4054</v>
      </c>
      <c r="B528" t="s">
        <v>4055</v>
      </c>
      <c r="C528" t="s">
        <v>4056</v>
      </c>
      <c r="D528" s="64" t="s">
        <v>2502</v>
      </c>
    </row>
    <row r="529" spans="1:4">
      <c r="A529" t="s">
        <v>4057</v>
      </c>
      <c r="B529" t="s">
        <v>4058</v>
      </c>
      <c r="C529" t="s">
        <v>4059</v>
      </c>
      <c r="D529" s="64" t="s">
        <v>2502</v>
      </c>
    </row>
    <row r="530" spans="1:4">
      <c r="A530" t="s">
        <v>4060</v>
      </c>
      <c r="B530" t="s">
        <v>4061</v>
      </c>
      <c r="C530" t="s">
        <v>4062</v>
      </c>
      <c r="D530" s="64" t="s">
        <v>2539</v>
      </c>
    </row>
    <row r="531" spans="1:4">
      <c r="A531" t="s">
        <v>4063</v>
      </c>
      <c r="B531" t="s">
        <v>4064</v>
      </c>
      <c r="C531" t="s">
        <v>4065</v>
      </c>
      <c r="D531" s="64" t="s">
        <v>2502</v>
      </c>
    </row>
    <row r="532" spans="1:4">
      <c r="A532" t="s">
        <v>4066</v>
      </c>
      <c r="B532" t="s">
        <v>4067</v>
      </c>
      <c r="C532" t="s">
        <v>4068</v>
      </c>
      <c r="D532" s="64" t="s">
        <v>2502</v>
      </c>
    </row>
    <row r="533" spans="1:4">
      <c r="A533" t="s">
        <v>647</v>
      </c>
      <c r="B533" t="s">
        <v>4069</v>
      </c>
      <c r="C533" t="s">
        <v>4070</v>
      </c>
      <c r="D533" s="64" t="s">
        <v>2502</v>
      </c>
    </row>
    <row r="534" spans="1:4">
      <c r="A534" t="s">
        <v>4071</v>
      </c>
      <c r="B534" t="s">
        <v>4072</v>
      </c>
      <c r="C534" t="s">
        <v>4073</v>
      </c>
      <c r="D534" s="64" t="s">
        <v>2502</v>
      </c>
    </row>
    <row r="535" spans="1:4">
      <c r="A535" t="s">
        <v>4074</v>
      </c>
      <c r="B535" t="s">
        <v>4075</v>
      </c>
      <c r="C535" t="s">
        <v>4076</v>
      </c>
      <c r="D535" s="64" t="s">
        <v>2502</v>
      </c>
    </row>
    <row r="536" spans="1:4">
      <c r="A536" t="s">
        <v>4077</v>
      </c>
      <c r="B536" t="s">
        <v>4078</v>
      </c>
      <c r="C536" t="s">
        <v>4079</v>
      </c>
      <c r="D536" s="64" t="s">
        <v>2502</v>
      </c>
    </row>
    <row r="537" spans="1:4">
      <c r="A537" t="s">
        <v>4080</v>
      </c>
      <c r="B537" t="s">
        <v>4081</v>
      </c>
      <c r="C537" t="s">
        <v>4082</v>
      </c>
      <c r="D537" s="64" t="s">
        <v>2502</v>
      </c>
    </row>
    <row r="538" spans="1:4">
      <c r="A538" t="s">
        <v>4083</v>
      </c>
      <c r="B538" t="s">
        <v>4084</v>
      </c>
      <c r="C538" t="s">
        <v>4085</v>
      </c>
      <c r="D538" s="64" t="s">
        <v>2502</v>
      </c>
    </row>
    <row r="539" spans="1:4">
      <c r="A539" t="s">
        <v>4086</v>
      </c>
      <c r="B539" t="s">
        <v>4087</v>
      </c>
      <c r="C539" t="s">
        <v>4088</v>
      </c>
      <c r="D539" s="64" t="s">
        <v>2502</v>
      </c>
    </row>
    <row r="540" spans="1:4">
      <c r="A540" t="s">
        <v>4089</v>
      </c>
      <c r="B540" t="s">
        <v>4090</v>
      </c>
      <c r="C540" t="s">
        <v>4091</v>
      </c>
      <c r="D540" s="64" t="s">
        <v>2502</v>
      </c>
    </row>
    <row r="541" spans="1:4">
      <c r="A541" t="s">
        <v>4092</v>
      </c>
      <c r="B541" t="s">
        <v>4093</v>
      </c>
      <c r="C541" t="s">
        <v>4094</v>
      </c>
      <c r="D541" s="64" t="s">
        <v>2502</v>
      </c>
    </row>
    <row r="542" spans="1:4">
      <c r="A542" t="s">
        <v>4095</v>
      </c>
      <c r="B542" t="s">
        <v>4096</v>
      </c>
      <c r="C542" t="s">
        <v>4097</v>
      </c>
      <c r="D542" s="64" t="s">
        <v>2502</v>
      </c>
    </row>
    <row r="543" spans="1:4">
      <c r="A543" t="s">
        <v>4098</v>
      </c>
      <c r="B543" t="s">
        <v>4099</v>
      </c>
      <c r="C543" t="s">
        <v>4100</v>
      </c>
      <c r="D543" s="64" t="s">
        <v>2502</v>
      </c>
    </row>
    <row r="544" spans="1:4">
      <c r="A544" t="s">
        <v>4101</v>
      </c>
      <c r="B544" t="s">
        <v>4102</v>
      </c>
      <c r="C544" t="s">
        <v>4103</v>
      </c>
      <c r="D544" s="64" t="s">
        <v>2502</v>
      </c>
    </row>
    <row r="545" spans="1:4">
      <c r="A545" t="s">
        <v>4104</v>
      </c>
      <c r="B545" t="s">
        <v>4105</v>
      </c>
      <c r="C545" t="s">
        <v>4106</v>
      </c>
      <c r="D545" s="64" t="s">
        <v>2502</v>
      </c>
    </row>
    <row r="546" spans="1:4">
      <c r="A546" t="s">
        <v>4107</v>
      </c>
      <c r="B546" t="s">
        <v>4108</v>
      </c>
      <c r="C546" t="s">
        <v>4109</v>
      </c>
      <c r="D546" s="64" t="s">
        <v>2502</v>
      </c>
    </row>
    <row r="547" spans="1:4">
      <c r="A547" t="s">
        <v>4110</v>
      </c>
      <c r="B547" t="s">
        <v>4111</v>
      </c>
      <c r="C547" t="s">
        <v>4112</v>
      </c>
      <c r="D547" s="64" t="s">
        <v>2502</v>
      </c>
    </row>
    <row r="548" spans="1:4">
      <c r="A548" t="s">
        <v>4113</v>
      </c>
      <c r="B548" t="s">
        <v>4114</v>
      </c>
      <c r="C548" t="s">
        <v>4115</v>
      </c>
      <c r="D548" s="64" t="s">
        <v>2502</v>
      </c>
    </row>
    <row r="549" spans="1:4">
      <c r="A549" t="s">
        <v>4116</v>
      </c>
      <c r="B549" t="s">
        <v>4117</v>
      </c>
      <c r="C549" t="s">
        <v>4118</v>
      </c>
      <c r="D549" s="64" t="s">
        <v>2502</v>
      </c>
    </row>
    <row r="550" spans="1:4">
      <c r="A550" t="s">
        <v>4119</v>
      </c>
      <c r="B550" t="s">
        <v>4120</v>
      </c>
      <c r="C550" t="s">
        <v>4121</v>
      </c>
      <c r="D550" s="64" t="s">
        <v>2502</v>
      </c>
    </row>
    <row r="551" spans="1:4">
      <c r="A551" t="s">
        <v>4122</v>
      </c>
      <c r="B551" t="s">
        <v>4123</v>
      </c>
      <c r="C551" t="s">
        <v>4124</v>
      </c>
      <c r="D551" s="64" t="s">
        <v>2502</v>
      </c>
    </row>
    <row r="552" spans="1:4">
      <c r="A552" t="s">
        <v>4125</v>
      </c>
      <c r="B552" t="s">
        <v>4126</v>
      </c>
      <c r="C552" t="s">
        <v>4127</v>
      </c>
      <c r="D552" s="64" t="s">
        <v>2539</v>
      </c>
    </row>
    <row r="553" spans="1:4">
      <c r="A553" t="s">
        <v>4128</v>
      </c>
      <c r="B553" t="s">
        <v>4129</v>
      </c>
      <c r="C553" t="s">
        <v>4130</v>
      </c>
      <c r="D553" s="64" t="s">
        <v>2502</v>
      </c>
    </row>
    <row r="554" spans="1:4">
      <c r="A554" t="s">
        <v>4131</v>
      </c>
      <c r="B554" t="s">
        <v>4132</v>
      </c>
      <c r="C554" t="s">
        <v>4133</v>
      </c>
      <c r="D554" s="64" t="s">
        <v>2502</v>
      </c>
    </row>
    <row r="555" spans="1:4">
      <c r="A555" t="s">
        <v>4134</v>
      </c>
      <c r="B555" t="s">
        <v>4135</v>
      </c>
      <c r="C555" t="s">
        <v>4136</v>
      </c>
      <c r="D555" s="64" t="s">
        <v>2502</v>
      </c>
    </row>
    <row r="556" spans="1:4">
      <c r="A556" t="s">
        <v>4137</v>
      </c>
      <c r="B556" t="s">
        <v>4138</v>
      </c>
      <c r="C556" t="s">
        <v>4139</v>
      </c>
      <c r="D556" s="64" t="s">
        <v>2502</v>
      </c>
    </row>
    <row r="557" spans="1:4">
      <c r="A557" t="s">
        <v>4140</v>
      </c>
      <c r="B557" t="s">
        <v>4141</v>
      </c>
      <c r="C557" t="s">
        <v>4142</v>
      </c>
      <c r="D557" s="64" t="s">
        <v>2502</v>
      </c>
    </row>
    <row r="558" spans="1:4">
      <c r="A558" t="s">
        <v>4143</v>
      </c>
      <c r="B558" t="s">
        <v>4144</v>
      </c>
      <c r="C558" t="s">
        <v>4145</v>
      </c>
      <c r="D558" s="64" t="s">
        <v>2502</v>
      </c>
    </row>
    <row r="559" spans="1:4">
      <c r="A559" t="s">
        <v>4146</v>
      </c>
      <c r="B559" t="s">
        <v>4147</v>
      </c>
      <c r="C559" t="s">
        <v>4148</v>
      </c>
      <c r="D559" s="64" t="s">
        <v>2502</v>
      </c>
    </row>
    <row r="560" spans="1:4">
      <c r="A560" t="s">
        <v>4149</v>
      </c>
      <c r="B560" t="s">
        <v>4150</v>
      </c>
      <c r="C560" t="s">
        <v>4151</v>
      </c>
      <c r="D560" s="64" t="s">
        <v>2502</v>
      </c>
    </row>
    <row r="561" spans="1:4">
      <c r="A561" t="s">
        <v>4152</v>
      </c>
      <c r="B561" t="s">
        <v>4153</v>
      </c>
      <c r="C561" t="s">
        <v>4154</v>
      </c>
      <c r="D561" s="64" t="s">
        <v>2502</v>
      </c>
    </row>
    <row r="562" spans="1:4">
      <c r="A562" t="s">
        <v>4155</v>
      </c>
      <c r="B562" t="s">
        <v>4156</v>
      </c>
      <c r="C562" t="s">
        <v>4157</v>
      </c>
      <c r="D562" s="64" t="s">
        <v>2539</v>
      </c>
    </row>
    <row r="563" spans="1:4">
      <c r="A563" t="s">
        <v>4158</v>
      </c>
      <c r="B563" t="s">
        <v>4159</v>
      </c>
      <c r="C563" t="s">
        <v>4160</v>
      </c>
      <c r="D563" s="64" t="s">
        <v>2502</v>
      </c>
    </row>
    <row r="564" spans="1:4">
      <c r="A564" t="s">
        <v>4161</v>
      </c>
      <c r="B564" t="s">
        <v>4162</v>
      </c>
      <c r="C564" t="s">
        <v>4163</v>
      </c>
      <c r="D564" s="64" t="s">
        <v>2502</v>
      </c>
    </row>
    <row r="565" spans="1:4">
      <c r="A565" t="s">
        <v>4164</v>
      </c>
      <c r="B565" t="s">
        <v>4165</v>
      </c>
      <c r="C565" t="s">
        <v>4166</v>
      </c>
      <c r="D565" s="64" t="s">
        <v>2502</v>
      </c>
    </row>
    <row r="566" spans="1:4">
      <c r="A566" t="s">
        <v>4167</v>
      </c>
      <c r="B566" t="s">
        <v>4168</v>
      </c>
      <c r="C566" t="s">
        <v>4169</v>
      </c>
      <c r="D566" s="64" t="s">
        <v>2539</v>
      </c>
    </row>
    <row r="567" spans="1:4">
      <c r="A567" t="s">
        <v>4170</v>
      </c>
      <c r="B567" t="s">
        <v>4171</v>
      </c>
      <c r="C567" t="s">
        <v>4172</v>
      </c>
      <c r="D567" s="64" t="s">
        <v>2502</v>
      </c>
    </row>
    <row r="568" spans="1:4">
      <c r="A568" t="s">
        <v>4173</v>
      </c>
      <c r="B568" t="s">
        <v>4174</v>
      </c>
      <c r="C568" t="s">
        <v>4175</v>
      </c>
      <c r="D568" s="64" t="s">
        <v>2539</v>
      </c>
    </row>
    <row r="569" spans="1:4">
      <c r="A569" t="s">
        <v>4176</v>
      </c>
      <c r="B569" t="s">
        <v>4177</v>
      </c>
      <c r="C569" t="s">
        <v>4178</v>
      </c>
      <c r="D569" s="64" t="s">
        <v>2502</v>
      </c>
    </row>
    <row r="570" spans="1:4">
      <c r="A570" t="s">
        <v>4179</v>
      </c>
      <c r="B570" t="s">
        <v>4180</v>
      </c>
      <c r="C570" t="s">
        <v>4181</v>
      </c>
      <c r="D570" s="64" t="s">
        <v>2539</v>
      </c>
    </row>
    <row r="571" spans="1:4">
      <c r="A571" t="s">
        <v>4182</v>
      </c>
      <c r="B571" t="s">
        <v>4183</v>
      </c>
      <c r="C571" t="s">
        <v>4184</v>
      </c>
      <c r="D571" s="64" t="s">
        <v>2502</v>
      </c>
    </row>
    <row r="572" spans="1:4">
      <c r="A572" t="s">
        <v>4185</v>
      </c>
      <c r="B572" t="s">
        <v>4186</v>
      </c>
      <c r="C572" t="s">
        <v>4187</v>
      </c>
      <c r="D572" s="64" t="s">
        <v>2502</v>
      </c>
    </row>
    <row r="573" spans="1:4">
      <c r="A573" t="s">
        <v>4188</v>
      </c>
      <c r="B573" t="s">
        <v>4189</v>
      </c>
      <c r="C573" t="s">
        <v>4190</v>
      </c>
      <c r="D573" s="64" t="s">
        <v>2502</v>
      </c>
    </row>
    <row r="574" spans="1:4">
      <c r="A574" t="s">
        <v>4191</v>
      </c>
      <c r="B574" t="s">
        <v>4192</v>
      </c>
      <c r="C574" t="s">
        <v>4193</v>
      </c>
      <c r="D574" s="64" t="s">
        <v>2539</v>
      </c>
    </row>
    <row r="575" spans="1:4">
      <c r="A575" t="s">
        <v>4194</v>
      </c>
      <c r="B575" t="s">
        <v>4195</v>
      </c>
      <c r="C575" t="s">
        <v>4196</v>
      </c>
      <c r="D575" s="64" t="s">
        <v>2539</v>
      </c>
    </row>
    <row r="576" spans="1:4">
      <c r="A576" t="s">
        <v>4197</v>
      </c>
      <c r="B576" t="s">
        <v>4198</v>
      </c>
      <c r="C576" t="s">
        <v>4199</v>
      </c>
      <c r="D576" s="64" t="s">
        <v>2539</v>
      </c>
    </row>
    <row r="577" spans="1:4">
      <c r="A577" t="s">
        <v>4200</v>
      </c>
      <c r="B577" t="s">
        <v>4201</v>
      </c>
      <c r="C577" t="s">
        <v>4202</v>
      </c>
      <c r="D577" s="64" t="s">
        <v>2502</v>
      </c>
    </row>
    <row r="578" spans="1:4">
      <c r="A578" t="s">
        <v>4203</v>
      </c>
      <c r="B578" t="s">
        <v>4204</v>
      </c>
      <c r="C578" t="s">
        <v>4205</v>
      </c>
      <c r="D578" s="64" t="s">
        <v>2539</v>
      </c>
    </row>
    <row r="579" spans="1:4">
      <c r="A579" t="s">
        <v>4206</v>
      </c>
      <c r="B579" t="s">
        <v>4207</v>
      </c>
      <c r="C579" t="s">
        <v>4208</v>
      </c>
      <c r="D579" s="64" t="s">
        <v>2502</v>
      </c>
    </row>
    <row r="580" spans="1:4">
      <c r="A580" t="s">
        <v>4209</v>
      </c>
      <c r="B580" t="s">
        <v>4210</v>
      </c>
      <c r="C580" t="s">
        <v>4211</v>
      </c>
      <c r="D580" s="64" t="s">
        <v>2502</v>
      </c>
    </row>
    <row r="581" spans="1:4">
      <c r="A581" t="s">
        <v>4212</v>
      </c>
      <c r="B581" t="s">
        <v>4213</v>
      </c>
      <c r="C581" t="s">
        <v>4214</v>
      </c>
      <c r="D581" s="64" t="s">
        <v>2502</v>
      </c>
    </row>
    <row r="582" spans="1:4">
      <c r="A582" t="s">
        <v>4215</v>
      </c>
      <c r="B582" t="s">
        <v>4216</v>
      </c>
      <c r="C582" t="s">
        <v>4217</v>
      </c>
      <c r="D582" s="64" t="s">
        <v>2502</v>
      </c>
    </row>
    <row r="583" spans="1:4">
      <c r="A583" t="s">
        <v>4218</v>
      </c>
      <c r="B583" t="s">
        <v>4219</v>
      </c>
      <c r="C583" t="s">
        <v>4220</v>
      </c>
      <c r="D583" s="64" t="s">
        <v>2502</v>
      </c>
    </row>
    <row r="584" spans="1:4">
      <c r="A584" t="s">
        <v>4221</v>
      </c>
      <c r="B584" t="s">
        <v>4222</v>
      </c>
      <c r="C584" t="s">
        <v>4223</v>
      </c>
      <c r="D584" s="64" t="s">
        <v>2539</v>
      </c>
    </row>
    <row r="585" spans="1:4">
      <c r="A585" t="s">
        <v>4224</v>
      </c>
      <c r="B585" t="s">
        <v>4225</v>
      </c>
      <c r="C585" t="s">
        <v>4226</v>
      </c>
      <c r="D585" s="64" t="s">
        <v>2539</v>
      </c>
    </row>
    <row r="586" spans="1:4">
      <c r="A586" t="s">
        <v>4227</v>
      </c>
      <c r="B586" t="s">
        <v>4228</v>
      </c>
      <c r="C586" t="s">
        <v>4229</v>
      </c>
      <c r="D586" s="64" t="s">
        <v>2539</v>
      </c>
    </row>
    <row r="587" spans="1:4">
      <c r="A587" t="s">
        <v>4230</v>
      </c>
      <c r="B587" t="s">
        <v>4231</v>
      </c>
      <c r="C587" t="s">
        <v>4232</v>
      </c>
      <c r="D587" s="64" t="s">
        <v>2502</v>
      </c>
    </row>
    <row r="588" spans="1:4">
      <c r="A588" t="s">
        <v>4233</v>
      </c>
      <c r="B588" t="s">
        <v>4234</v>
      </c>
      <c r="C588" t="s">
        <v>4235</v>
      </c>
      <c r="D588" s="64" t="s">
        <v>2502</v>
      </c>
    </row>
    <row r="589" spans="1:4">
      <c r="A589" t="s">
        <v>4236</v>
      </c>
      <c r="B589" t="s">
        <v>4237</v>
      </c>
      <c r="C589" t="s">
        <v>4238</v>
      </c>
      <c r="D589" s="64" t="s">
        <v>2502</v>
      </c>
    </row>
    <row r="590" spans="1:4">
      <c r="A590" t="s">
        <v>4239</v>
      </c>
      <c r="B590" t="s">
        <v>4240</v>
      </c>
      <c r="C590" t="s">
        <v>4241</v>
      </c>
      <c r="D590" s="64" t="s">
        <v>2502</v>
      </c>
    </row>
    <row r="591" spans="1:4">
      <c r="A591" t="s">
        <v>4242</v>
      </c>
      <c r="B591" t="s">
        <v>4243</v>
      </c>
      <c r="C591" t="s">
        <v>4244</v>
      </c>
      <c r="D591" s="64" t="s">
        <v>2502</v>
      </c>
    </row>
    <row r="592" spans="1:4">
      <c r="A592" t="s">
        <v>4245</v>
      </c>
      <c r="B592" t="s">
        <v>4246</v>
      </c>
      <c r="C592" t="s">
        <v>4247</v>
      </c>
      <c r="D592" s="64" t="s">
        <v>2502</v>
      </c>
    </row>
    <row r="593" spans="1:4">
      <c r="A593" t="s">
        <v>4248</v>
      </c>
      <c r="B593" t="s">
        <v>4249</v>
      </c>
      <c r="C593" t="s">
        <v>4250</v>
      </c>
      <c r="D593" s="64" t="s">
        <v>2502</v>
      </c>
    </row>
    <row r="594" spans="1:4">
      <c r="A594" t="s">
        <v>4251</v>
      </c>
      <c r="B594" t="s">
        <v>4252</v>
      </c>
      <c r="C594" t="s">
        <v>4253</v>
      </c>
      <c r="D594" s="64" t="s">
        <v>2502</v>
      </c>
    </row>
    <row r="595" spans="1:4">
      <c r="A595" t="s">
        <v>4254</v>
      </c>
      <c r="B595" t="s">
        <v>4255</v>
      </c>
      <c r="C595" t="s">
        <v>4256</v>
      </c>
      <c r="D595" s="64" t="s">
        <v>2502</v>
      </c>
    </row>
    <row r="596" spans="1:4">
      <c r="A596" t="s">
        <v>4257</v>
      </c>
      <c r="B596" t="s">
        <v>4258</v>
      </c>
      <c r="C596" t="s">
        <v>4259</v>
      </c>
      <c r="D596" s="64" t="s">
        <v>2539</v>
      </c>
    </row>
    <row r="597" spans="1:4">
      <c r="A597" t="s">
        <v>4260</v>
      </c>
      <c r="B597" t="s">
        <v>4261</v>
      </c>
      <c r="C597" t="s">
        <v>4262</v>
      </c>
      <c r="D597" s="64" t="s">
        <v>2502</v>
      </c>
    </row>
    <row r="598" spans="1:4">
      <c r="A598" t="s">
        <v>4263</v>
      </c>
      <c r="B598" t="s">
        <v>4264</v>
      </c>
      <c r="C598" t="s">
        <v>4265</v>
      </c>
      <c r="D598" s="64" t="s">
        <v>2502</v>
      </c>
    </row>
    <row r="599" spans="1:4">
      <c r="A599" t="s">
        <v>4266</v>
      </c>
      <c r="B599" t="s">
        <v>4267</v>
      </c>
      <c r="C599" t="s">
        <v>4268</v>
      </c>
      <c r="D599" s="64" t="s">
        <v>2539</v>
      </c>
    </row>
    <row r="600" spans="1:4">
      <c r="A600" t="s">
        <v>4269</v>
      </c>
      <c r="B600" t="s">
        <v>4270</v>
      </c>
      <c r="C600" t="s">
        <v>4271</v>
      </c>
      <c r="D600" s="64" t="s">
        <v>2502</v>
      </c>
    </row>
    <row r="601" spans="1:4">
      <c r="A601" t="s">
        <v>4272</v>
      </c>
      <c r="B601" t="s">
        <v>4273</v>
      </c>
      <c r="C601" t="s">
        <v>4274</v>
      </c>
      <c r="D601" s="64" t="s">
        <v>2502</v>
      </c>
    </row>
    <row r="602" spans="1:4">
      <c r="A602" t="s">
        <v>4275</v>
      </c>
      <c r="B602" t="s">
        <v>4276</v>
      </c>
      <c r="C602" t="s">
        <v>4277</v>
      </c>
      <c r="D602" s="64" t="s">
        <v>2502</v>
      </c>
    </row>
    <row r="603" spans="1:4">
      <c r="A603" t="s">
        <v>4278</v>
      </c>
      <c r="B603" t="s">
        <v>4279</v>
      </c>
      <c r="C603" t="s">
        <v>4280</v>
      </c>
      <c r="D603" s="64" t="s">
        <v>2502</v>
      </c>
    </row>
    <row r="604" spans="1:4">
      <c r="A604" t="s">
        <v>4281</v>
      </c>
      <c r="B604" t="s">
        <v>4282</v>
      </c>
      <c r="C604" t="s">
        <v>4283</v>
      </c>
      <c r="D604" s="64" t="s">
        <v>2502</v>
      </c>
    </row>
    <row r="605" spans="1:4">
      <c r="A605" t="s">
        <v>4284</v>
      </c>
      <c r="B605" t="s">
        <v>4285</v>
      </c>
      <c r="C605" t="s">
        <v>4286</v>
      </c>
      <c r="D605" s="64" t="s">
        <v>2502</v>
      </c>
    </row>
    <row r="606" spans="1:4">
      <c r="A606" t="s">
        <v>4287</v>
      </c>
      <c r="B606" t="s">
        <v>4288</v>
      </c>
      <c r="C606" t="s">
        <v>4289</v>
      </c>
      <c r="D606" s="64" t="s">
        <v>2502</v>
      </c>
    </row>
    <row r="607" spans="1:4">
      <c r="A607" t="s">
        <v>4290</v>
      </c>
      <c r="B607" t="s">
        <v>4291</v>
      </c>
      <c r="C607" t="s">
        <v>4292</v>
      </c>
      <c r="D607" t="s">
        <v>2502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7B61-4C5A-449C-8C3F-027CAEC65209}">
  <dimension ref="A1:D1"/>
  <sheetViews>
    <sheetView workbookViewId="0">
      <selection activeCell="B1" sqref="B1"/>
    </sheetView>
  </sheetViews>
  <sheetFormatPr defaultColWidth="8.7109375" defaultRowHeight="14.45"/>
  <cols>
    <col min="1" max="1" width="20.42578125" customWidth="1"/>
    <col min="2" max="2" width="21.28515625" customWidth="1"/>
    <col min="3" max="3" width="22.28515625" customWidth="1"/>
    <col min="4" max="4" width="20.42578125" customWidth="1"/>
  </cols>
  <sheetData>
    <row r="1" spans="1:4">
      <c r="A1" t="s">
        <v>598</v>
      </c>
      <c r="B1" t="s">
        <v>2441</v>
      </c>
      <c r="C1" t="s">
        <v>4293</v>
      </c>
      <c r="D1" t="s">
        <v>4294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E766288CD9D049B018E9D7616FEFA3" ma:contentTypeVersion="13" ma:contentTypeDescription="Create a new document." ma:contentTypeScope="" ma:versionID="ecfa04b825713def98461b7b42617f1c">
  <xsd:schema xmlns:xsd="http://www.w3.org/2001/XMLSchema" xmlns:xs="http://www.w3.org/2001/XMLSchema" xmlns:p="http://schemas.microsoft.com/office/2006/metadata/properties" xmlns:ns2="16a4a956-ef0b-4ac0-b4b4-d42670938d3c" xmlns:ns3="80275fd9-5154-44e9-8adf-b7af1a9b47c3" targetNamespace="http://schemas.microsoft.com/office/2006/metadata/properties" ma:root="true" ma:fieldsID="a7665277b65b03bdf80438883dc3dea7" ns2:_="" ns3:_="">
    <xsd:import namespace="16a4a956-ef0b-4ac0-b4b4-d42670938d3c"/>
    <xsd:import namespace="80275fd9-5154-44e9-8adf-b7af1a9b47c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4a956-ef0b-4ac0-b4b4-d42670938d3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75fd9-5154-44e9-8adf-b7af1a9b4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6a4a956-ef0b-4ac0-b4b4-d42670938d3c">
      <UserInfo>
        <DisplayName>ACDH, O365</DisplayName>
        <AccountId>41</AccountId>
        <AccountType/>
      </UserInfo>
      <UserInfo>
        <DisplayName>Kinzl, Gunda</DisplayName>
        <AccountId>43</AccountId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B1D171-5564-4B7C-A9B4-ED699F07D06E}"/>
</file>

<file path=customXml/itemProps2.xml><?xml version="1.0" encoding="utf-8"?>
<ds:datastoreItem xmlns:ds="http://schemas.openxmlformats.org/officeDocument/2006/customXml" ds:itemID="{4168759C-F5BC-4C28-8427-EC6BAF345381}"/>
</file>

<file path=customXml/itemProps3.xml><?xml version="1.0" encoding="utf-8"?>
<ds:datastoreItem xmlns:ds="http://schemas.openxmlformats.org/officeDocument/2006/customXml" ds:itemID="{12DD12F9-5F43-466A-BDF6-B2DDD98EC432}"/>
</file>

<file path=customXml/itemProps4.xml><?xml version="1.0" encoding="utf-8"?>
<ds:datastoreItem xmlns:ds="http://schemas.openxmlformats.org/officeDocument/2006/customXml" ds:itemID="{E42F6F2D-7BCF-4527-BFD9-9596CE8DE0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Aozan Hussien</cp:lastModifiedBy>
  <cp:revision/>
  <dcterms:created xsi:type="dcterms:W3CDTF">2022-02-07T15:07:49Z</dcterms:created>
  <dcterms:modified xsi:type="dcterms:W3CDTF">2026-03-18T09:16:53Z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0x010100C7E766288CD9D049B018E9D7616FEFA3</vt:lpwstr>
  </property>
</Properties>
</file>